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.shaked\Documents\hadassah\Amir_data_new\new_09122018\"/>
    </mc:Choice>
  </mc:AlternateContent>
  <bookViews>
    <workbookView xWindow="0" yWindow="0" windowWidth="15852" windowHeight="8052" tabRatio="870"/>
  </bookViews>
  <sheets>
    <sheet name="hadasa_bedsore" sheetId="2" r:id="rId1"/>
    <sheet name="hadasa_bedsore_diagnosis" sheetId="3" r:id="rId2"/>
    <sheet name="hadasa_bedsore_lab_results_data" sheetId="4" r:id="rId3"/>
    <sheet name="hadasa_bedsore_medication_data" sheetId="5" r:id="rId4"/>
    <sheet name="hadasa_bedsore_oncology_data" sheetId="6" r:id="rId5"/>
    <sheet name="hadasa_bedsore_procedure_data" sheetId="7" r:id="rId6"/>
    <sheet name="hadasa_bedsore_vital_signs_data" sheetId="8" r:id="rId7"/>
  </sheets>
  <definedNames>
    <definedName name="_xlnm._FilterDatabase" localSheetId="0" hidden="1">hadasa_bedsore!$A$1:$M$71</definedName>
    <definedName name="_xlnm._FilterDatabase" localSheetId="3" hidden="1">hadasa_bedsore_medication_data!$A$1:$L$22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2" l="1"/>
  <c r="M18" i="2" l="1"/>
  <c r="J5" i="8" l="1"/>
  <c r="J6" i="8"/>
  <c r="J7" i="8"/>
  <c r="J8" i="8"/>
  <c r="J9" i="8"/>
  <c r="J10" i="8"/>
  <c r="J11" i="8"/>
  <c r="J12" i="8"/>
  <c r="J13" i="8"/>
  <c r="J8" i="7"/>
  <c r="J7" i="7"/>
  <c r="J6" i="7"/>
  <c r="J5" i="7"/>
  <c r="J5" i="6"/>
  <c r="J6" i="6"/>
  <c r="J7" i="6"/>
  <c r="J8" i="6"/>
  <c r="J9" i="6"/>
  <c r="J10" i="6"/>
  <c r="J11" i="6"/>
  <c r="J12" i="6"/>
  <c r="J13" i="6"/>
  <c r="J14" i="6"/>
  <c r="J15" i="6"/>
  <c r="J4" i="8" l="1"/>
  <c r="J3" i="8"/>
  <c r="J2" i="8"/>
  <c r="J4" i="7"/>
  <c r="J3" i="7"/>
  <c r="J2" i="7"/>
  <c r="J4" i="6"/>
  <c r="J3" i="6"/>
  <c r="J2" i="6"/>
  <c r="J5" i="5" l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E10" i="5"/>
  <c r="E16" i="4"/>
  <c r="J3" i="5"/>
  <c r="J2" i="5"/>
  <c r="J2" i="4"/>
  <c r="J4" i="5"/>
  <c r="J5" i="4" l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4" i="4"/>
  <c r="J3" i="4"/>
  <c r="J3" i="3" l="1"/>
  <c r="J4" i="3" l="1"/>
  <c r="J5" i="3"/>
  <c r="J6" i="3"/>
  <c r="J7" i="3"/>
  <c r="J8" i="3"/>
  <c r="J9" i="3"/>
  <c r="J10" i="3"/>
  <c r="J11" i="3"/>
  <c r="J2" i="3"/>
  <c r="M4" i="2" l="1"/>
  <c r="M5" i="2"/>
  <c r="M6" i="2"/>
  <c r="M7" i="2"/>
  <c r="M8" i="2"/>
  <c r="M9" i="2"/>
  <c r="M10" i="2"/>
  <c r="M11" i="2"/>
  <c r="M13" i="2"/>
  <c r="M14" i="2"/>
  <c r="M15" i="2"/>
  <c r="M16" i="2"/>
  <c r="M19" i="2"/>
  <c r="M20" i="2"/>
  <c r="M21" i="2"/>
  <c r="M22" i="2"/>
  <c r="M23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3" i="2"/>
  <c r="M2" i="2"/>
</calcChain>
</file>

<file path=xl/comments1.xml><?xml version="1.0" encoding="utf-8"?>
<comments xmlns="http://schemas.openxmlformats.org/spreadsheetml/2006/main">
  <authors>
    <author>אמיר שקד</author>
  </authors>
  <commentList>
    <comment ref="B1" authorId="0" shapeId="0">
      <text>
        <r>
          <rPr>
            <sz val="9"/>
            <color indexed="81"/>
            <rFont val="Tahoma"/>
            <family val="2"/>
          </rPr>
          <t xml:space="preserve">בצהוב - תידרש טבלת LKP
באדום - שדות בעיתיים להתממה
בירוק - תדרש המרה בקליטה לשמורה לתאריך
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 xml:space="preserve">בצהוב - תידרש טבלת LKP
באדום - שדות בעיתיים להתממה
בירוק - תדרש המרה בקליטה לשמורה לתאריך
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2.xml><?xml version="1.0" encoding="utf-8"?>
<comments xmlns="http://schemas.openxmlformats.org/spreadsheetml/2006/main">
  <authors>
    <author>אמיר שקד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3.xml><?xml version="1.0" encoding="utf-8"?>
<comments xmlns="http://schemas.openxmlformats.org/spreadsheetml/2006/main">
  <authors>
    <author>אמיר שקד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4.xml><?xml version="1.0" encoding="utf-8"?>
<comments xmlns="http://schemas.openxmlformats.org/spreadsheetml/2006/main">
  <authors>
    <author>אמיר שקד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5.xml><?xml version="1.0" encoding="utf-8"?>
<comments xmlns="http://schemas.openxmlformats.org/spreadsheetml/2006/main">
  <authors>
    <author>אמיר שקד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6.xml><?xml version="1.0" encoding="utf-8"?>
<comments xmlns="http://schemas.openxmlformats.org/spreadsheetml/2006/main">
  <authors>
    <author>אמיר שקד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comments7.xml><?xml version="1.0" encoding="utf-8"?>
<comments xmlns="http://schemas.openxmlformats.org/spreadsheetml/2006/main">
  <authors>
    <author>אמיר שקד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הגדרת השדות</t>
        </r>
      </text>
    </comment>
  </commentList>
</comments>
</file>

<file path=xl/sharedStrings.xml><?xml version="1.0" encoding="utf-8"?>
<sst xmlns="http://schemas.openxmlformats.org/spreadsheetml/2006/main" count="1299" uniqueCount="420">
  <si>
    <t>Column Name</t>
  </si>
  <si>
    <t>Type</t>
  </si>
  <si>
    <t>datetime</t>
  </si>
  <si>
    <t>מס ברזל - PATIENT_ID</t>
  </si>
  <si>
    <t>ת. לידה</t>
  </si>
  <si>
    <t>מין</t>
  </si>
  <si>
    <t>מצב משפחתי</t>
  </si>
  <si>
    <t>דת</t>
  </si>
  <si>
    <t>ארץ לידה</t>
  </si>
  <si>
    <t>ארץ לידה אב</t>
  </si>
  <si>
    <t>ארץ לידה אם</t>
  </si>
  <si>
    <t>מס' ילדים</t>
  </si>
  <si>
    <t>שנת עליה</t>
  </si>
  <si>
    <t>כתובת מגורים</t>
  </si>
  <si>
    <t>גורם מממן</t>
  </si>
  <si>
    <t>מס' אירוע מחול</t>
  </si>
  <si>
    <t>מס' סיכום</t>
  </si>
  <si>
    <t>מס' מחלקה</t>
  </si>
  <si>
    <t>שם מחלקה</t>
  </si>
  <si>
    <t>מחלקה פיזית</t>
  </si>
  <si>
    <t>ת' כניסה לאשפוז</t>
  </si>
  <si>
    <t>ת' יציאה מאשפוז</t>
  </si>
  <si>
    <t>מס' ניתוח</t>
  </si>
  <si>
    <t>ת. ניתוח</t>
  </si>
  <si>
    <t>סוג אירוע</t>
  </si>
  <si>
    <t>מהלך וסיכום מתוך "סיכום מחלה"</t>
  </si>
  <si>
    <t>פצע לחץ חדש - נושא</t>
  </si>
  <si>
    <t xml:space="preserve">פצע לחץ חדש </t>
  </si>
  <si>
    <t>פצע לחץ חדש - הערות</t>
  </si>
  <si>
    <t>מראה וחום העור</t>
  </si>
  <si>
    <t>פצעים אחרים (מיקום ותיאור)</t>
  </si>
  <si>
    <t>נקז מפצע</t>
  </si>
  <si>
    <t>כוויה:</t>
  </si>
  <si>
    <t>פצע לחץ 1</t>
  </si>
  <si>
    <t>מיקום 1</t>
  </si>
  <si>
    <t>צד 1</t>
  </si>
  <si>
    <t>דרגה 1</t>
  </si>
  <si>
    <t>גודל - עומק 1</t>
  </si>
  <si>
    <t>גודל - שטח 1</t>
  </si>
  <si>
    <t>מאפייני רקמת הפצע: 1</t>
  </si>
  <si>
    <t>הפרשה: 1</t>
  </si>
  <si>
    <t>כמות הפרשה 1</t>
  </si>
  <si>
    <t>אמצעי ניקוז מהפצע 1</t>
  </si>
  <si>
    <t>פצע לחץ 2</t>
  </si>
  <si>
    <t>מיקום 2</t>
  </si>
  <si>
    <t>צד 2</t>
  </si>
  <si>
    <t>דרגה 2</t>
  </si>
  <si>
    <t>גודל - עומק 2</t>
  </si>
  <si>
    <t>גודל - שטח 2</t>
  </si>
  <si>
    <t>מאפייני רקמת הפצע: 2</t>
  </si>
  <si>
    <t>הפרשה: 2</t>
  </si>
  <si>
    <t>כמות הפרשה 2</t>
  </si>
  <si>
    <t>אמצעי ניקוז מהפצע 2</t>
  </si>
  <si>
    <t>פצע לחץ 3</t>
  </si>
  <si>
    <t>מיקום 3</t>
  </si>
  <si>
    <t>צד 3</t>
  </si>
  <si>
    <t>דרגה 3</t>
  </si>
  <si>
    <t>גודל - עומק 3</t>
  </si>
  <si>
    <t>גודל - שטח 3</t>
  </si>
  <si>
    <t>מאפייני רקמת הפצע: 3</t>
  </si>
  <si>
    <t>הפרשה: 3</t>
  </si>
  <si>
    <t>כמות הפרשה 3</t>
  </si>
  <si>
    <t>אמצעי ניקוז מהפצע 3</t>
  </si>
  <si>
    <t>פצע לחץ 4</t>
  </si>
  <si>
    <t>מיקום 4</t>
  </si>
  <si>
    <t>צד 4</t>
  </si>
  <si>
    <t>דרגה 4</t>
  </si>
  <si>
    <t>גודל - עומק 4</t>
  </si>
  <si>
    <t>גודל - שטח 4</t>
  </si>
  <si>
    <t>מאפייני רקמת הפצע: 4</t>
  </si>
  <si>
    <t>הפרשה: 4</t>
  </si>
  <si>
    <t>כמות הפרשה 4</t>
  </si>
  <si>
    <t>אמצעי ניקוז מהפצע 4</t>
  </si>
  <si>
    <t>numeric</t>
  </si>
  <si>
    <t>date</t>
  </si>
  <si>
    <t>char</t>
  </si>
  <si>
    <t>Description</t>
  </si>
  <si>
    <t>תאריך ניתוח</t>
  </si>
  <si>
    <t>SourceSystem</t>
  </si>
  <si>
    <t xml:space="preserve">תאריך לידה </t>
  </si>
  <si>
    <t>DWH_ENT_DEMOG</t>
  </si>
  <si>
    <t>MAHOL</t>
  </si>
  <si>
    <t>MAHAR</t>
  </si>
  <si>
    <t>מס' סיכום מחר</t>
  </si>
  <si>
    <t>HANIT</t>
  </si>
  <si>
    <t>מלל חופשי - סיכום האירוע ע"י הרופא</t>
  </si>
  <si>
    <t>מחלקה פיזית - מחלקה מארחת - מיקום המאושפז בפועל</t>
  </si>
  <si>
    <t>תאריך כניסה לאשפוז</t>
  </si>
  <si>
    <t>תאריך יציאה מאשפוז</t>
  </si>
  <si>
    <t>סוג אירוע (מיון, אשפוז, אשפוז יום וכו')</t>
  </si>
  <si>
    <t>קטגוריה מתוך דיווח סיעודי -&gt; סיכום משמרת</t>
  </si>
  <si>
    <t>קטגוריה מתוך קבלה סיעודית -&gt;אומדן סיעודי -&gt; מצב העור ופצעים</t>
  </si>
  <si>
    <t>מתוך קבלה סיעודית -&gt;אומדן סיעודי -&gt; מצב העור ופצעים</t>
  </si>
  <si>
    <t>צ'ק בוקס מתוך סיכום משמרת -&gt; מצב העור ופצעים</t>
  </si>
  <si>
    <t>קטגוריה מתוך קבלה סיעודית -&gt;אומדן סיעודי -&gt; מצב העור ופצעים -&gt; פצעי לחץ</t>
  </si>
  <si>
    <t>צ'ק בוקס מתוך קבלה סיעודית -&gt;אומדן סיעודי -&gt; מצב העור ופצעים -&gt; פצעי לחץ</t>
  </si>
  <si>
    <t>מיקום פצע לחץ 1</t>
  </si>
  <si>
    <t>צד פצע לחץ 1</t>
  </si>
  <si>
    <t>דרגה פצע לחץ 1</t>
  </si>
  <si>
    <t>הפרשה פצע לחץ 1</t>
  </si>
  <si>
    <t>מיקום פצע לחץ 2</t>
  </si>
  <si>
    <t>צד פצע לחץ 2</t>
  </si>
  <si>
    <t>דרגה פצע לחץ 2</t>
  </si>
  <si>
    <t>הפרשה פצע לחץ 2</t>
  </si>
  <si>
    <t>מיקום פצע לחץ 3</t>
  </si>
  <si>
    <t>צד פצע לחץ 3</t>
  </si>
  <si>
    <t>דרגה פצע לחץ 3</t>
  </si>
  <si>
    <t>הפרשה פצע לחץ 3</t>
  </si>
  <si>
    <t>עומק פצע לחץ 1</t>
  </si>
  <si>
    <t>שטח פצע לחץ 1</t>
  </si>
  <si>
    <t>עומק פצע לחץ 2</t>
  </si>
  <si>
    <t>שטח פצע לחץ 2</t>
  </si>
  <si>
    <t>עומק פצע לחץ 3</t>
  </si>
  <si>
    <t>שטח פצע לחץ 3</t>
  </si>
  <si>
    <t>מאפייני רקמת הפצע פצע לחץ 1</t>
  </si>
  <si>
    <t>אמצעי ניקוז מהפצע פצע לחץ 1</t>
  </si>
  <si>
    <t>מאפייני רקמת הפצע פצע לחץ 2</t>
  </si>
  <si>
    <t>אמצעי ניקוז מהפצע פצע לחץ 2</t>
  </si>
  <si>
    <t>מאפייני רקמת הפצע פצע לחץ 3</t>
  </si>
  <si>
    <t>אמצעי ניקוז מהפצע פצע לחץ 3</t>
  </si>
  <si>
    <t>כמות הפרשה פצע לחץ 1</t>
  </si>
  <si>
    <t>כמות הפרשה פצע לחץ 3</t>
  </si>
  <si>
    <t>כמות הפרשה פצע לחץ 2</t>
  </si>
  <si>
    <t>מיקום פצע לחץ 4</t>
  </si>
  <si>
    <t>צד פצע לחץ 4</t>
  </si>
  <si>
    <t>דרגה פצע לחץ 4</t>
  </si>
  <si>
    <t>עומק פצע לחץ 4</t>
  </si>
  <si>
    <t>שטח פצע לחץ 4</t>
  </si>
  <si>
    <t>מאפייני רקמת הפצע פצע לחץ 4</t>
  </si>
  <si>
    <t>הפרשה פצע לחץ 4</t>
  </si>
  <si>
    <t>כמות הפרשה פצע לחץ 4</t>
  </si>
  <si>
    <t>אמצעי ניקוז מהפצע פצע לחץ 4</t>
  </si>
  <si>
    <t>patient_id</t>
  </si>
  <si>
    <t>encounter_id</t>
  </si>
  <si>
    <t>diagnosis_code_system</t>
  </si>
  <si>
    <t>diagnosis_code</t>
  </si>
  <si>
    <t>diagnosis_description</t>
  </si>
  <si>
    <t>diagnosis_date</t>
  </si>
  <si>
    <t>principal_diagnosis_ind</t>
  </si>
  <si>
    <t>diagnosis_source</t>
  </si>
  <si>
    <t>sourcesystem</t>
  </si>
  <si>
    <t xml:space="preserve">מס' ברזל - מזהה יחודי מוצפן מותאם באופן חד חד ערכי לתז </t>
  </si>
  <si>
    <t>גורם מממן (קופ"ח כללית, מכבי וכו')</t>
  </si>
  <si>
    <t>קוד האבחנה</t>
  </si>
  <si>
    <t>שם האבחנה</t>
  </si>
  <si>
    <t>תאריך האבחנה</t>
  </si>
  <si>
    <t>ממתי האבחנה - P- אבחנה מהעבר | S - חשד לאבחנה</t>
  </si>
  <si>
    <t>מציין את מקור האבחנה - B - Billing diagnosis |  P - Problem list</t>
  </si>
  <si>
    <t>מקור הנתונים</t>
  </si>
  <si>
    <t>Patient_ID</t>
  </si>
  <si>
    <t>Encounter_ID</t>
  </si>
  <si>
    <t>Provider_ID</t>
  </si>
  <si>
    <t>Lab_Code_Original</t>
  </si>
  <si>
    <t>Lab_Name_Original</t>
  </si>
  <si>
    <t>lab_obs_code_system</t>
  </si>
  <si>
    <t>lab_obs_code</t>
  </si>
  <si>
    <t>lab_obs_description</t>
  </si>
  <si>
    <t>Battery_Code_System</t>
  </si>
  <si>
    <t>Battery_Code</t>
  </si>
  <si>
    <t>Battery_Description</t>
  </si>
  <si>
    <t>Lab_Section_Code_Original</t>
  </si>
  <si>
    <t>Lab_Section</t>
  </si>
  <si>
    <t>Normal_Range</t>
  </si>
  <si>
    <t>Test_Date</t>
  </si>
  <si>
    <t>Result_Type</t>
  </si>
  <si>
    <t>Lab_Result_Numeric_Value</t>
  </si>
  <si>
    <t>Lab_Result_Text_Value</t>
  </si>
  <si>
    <t>Units_of_Measure</t>
  </si>
  <si>
    <t>Action</t>
  </si>
  <si>
    <t>קוד מעבדה</t>
  </si>
  <si>
    <t>שם מעבדה</t>
  </si>
  <si>
    <t>השם של מערכת הקודים שהאבחנה מקודדת בה (לדוגמה ICD9 וכו')</t>
  </si>
  <si>
    <t>השם של מערכת הקודים שהאבחנה מקודדת בה (לדוגמה LOINC וכו')</t>
  </si>
  <si>
    <t>הקוד המייצג את בדיקת המעבדה</t>
  </si>
  <si>
    <t>התיאור הטקסטואלי של תצפית המעבדה</t>
  </si>
  <si>
    <t>השם של מערכת הקוד שבו מודפס מכלול בדיקת המעבדה.  מסייע במיפוי הקודים לקודים סטנדרטיים של TriNetX.</t>
  </si>
  <si>
    <t>קוד המכלול</t>
  </si>
  <si>
    <t>תאור המכלול</t>
  </si>
  <si>
    <t>קוד מחלקת מעבדה</t>
  </si>
  <si>
    <t>תאור מחלקת מעבדה</t>
  </si>
  <si>
    <t>טווח תוצאות נורמלי</t>
  </si>
  <si>
    <t>תאריך בדיקה</t>
  </si>
  <si>
    <t>מעיד האם תוצאת הבדיקה היא טקסט או מספר. N = numeric |  T = text</t>
  </si>
  <si>
    <t>תוצאות בדיקה במקרה ו ResultType = N</t>
  </si>
  <si>
    <t>תוצאות בדיקה במקרה ו ResultType = T</t>
  </si>
  <si>
    <t>יחידות מידה עבור הערך של התוצאה הבדיקה.</t>
  </si>
  <si>
    <t>סוג פעולה שנרשם ב DB (לדוגמא insert)</t>
  </si>
  <si>
    <t>Medication_Code_System</t>
  </si>
  <si>
    <t>Alternate_Drug_Code</t>
  </si>
  <si>
    <t>Medication_Code</t>
  </si>
  <si>
    <t>Medication_Name</t>
  </si>
  <si>
    <t>Alternate_Drug_Code_System</t>
  </si>
  <si>
    <t>Start_Date</t>
  </si>
  <si>
    <t>Route_of_Administration</t>
  </si>
  <si>
    <t>Units_Per_Administration</t>
  </si>
  <si>
    <t>Frequency</t>
  </si>
  <si>
    <t>Strength</t>
  </si>
  <si>
    <t>Form</t>
  </si>
  <si>
    <t>Duration</t>
  </si>
  <si>
    <t>Refills</t>
  </si>
  <si>
    <t>Medication_Source</t>
  </si>
  <si>
    <t>Indication_Code_System</t>
  </si>
  <si>
    <t>Indication_Code</t>
  </si>
  <si>
    <t>Indication_Description</t>
  </si>
  <si>
    <t>השם של מערכת הקודים שהתרופה מקודדת בה</t>
  </si>
  <si>
    <t>שם תרופה חלופי</t>
  </si>
  <si>
    <t>קוד תרופה</t>
  </si>
  <si>
    <t>תאור תרופה</t>
  </si>
  <si>
    <t>מערכת קוד ספציפית לספק. TriNetX משמש למיפוי הקודים לקודים סטנדרטיים של TriNetX</t>
  </si>
  <si>
    <t>התאריך שבו התרופה נקבעה או ניתנה</t>
  </si>
  <si>
    <t>דרך מתן</t>
  </si>
  <si>
    <t>מספר היחידות (למשל, טאבליות) שנלקחו לכל מתן</t>
  </si>
  <si>
    <t>מספר פעמים למתן ביום</t>
  </si>
  <si>
    <t>חוזק התרופות, כולל יחידת מידה</t>
  </si>
  <si>
    <t>צורת התרופה</t>
  </si>
  <si>
    <t>משך הזמן המתוכנן של המרשם, בימים</t>
  </si>
  <si>
    <t>כמות מילוי מחדש לאחר מרשם ראשוני.</t>
  </si>
  <si>
    <t>מציין את המקור של רשומת התרופות: A = Medication administration  O = Medication order P = Prescription</t>
  </si>
  <si>
    <t>השם של מערכת הקוד שבו האינדיקציה, או הסיבה למרשם, מקודד</t>
  </si>
  <si>
    <t>הקוד המציין את הסיבה למרשם</t>
  </si>
  <si>
    <t>התיאור הטקסטואלי של הסיבה למרשם</t>
  </si>
  <si>
    <t>date_of_diagnosis</t>
  </si>
  <si>
    <t>observation_date</t>
  </si>
  <si>
    <t>site_and_morph_code_system</t>
  </si>
  <si>
    <t>site_code</t>
  </si>
  <si>
    <t>Morphology_Code</t>
  </si>
  <si>
    <t>Grade_Code</t>
  </si>
  <si>
    <t>Stage_Code</t>
  </si>
  <si>
    <t>tnm_t</t>
  </si>
  <si>
    <t>tnm_n</t>
  </si>
  <si>
    <t>tnm_m</t>
  </si>
  <si>
    <t>recurrence_date</t>
  </si>
  <si>
    <t>multiple_primary_tumors</t>
  </si>
  <si>
    <t xml:space="preserve">תאריך האבחון הראשוני לסרטן </t>
  </si>
  <si>
    <t>תאריך בו נעשו תצפיות ברשומה זו (לדוגמה: מורפולוגיה)</t>
  </si>
  <si>
    <t xml:space="preserve">שם מערכת הקודים שבו מקודדים האתר והמורפולוגיה. </t>
  </si>
  <si>
    <t>המיקום האנטומי של הגידול. זה יכול להיות מקודד כקוד ICD-O. לחלופין, ניתן לספק קוד אבחון ICD-10.</t>
  </si>
  <si>
    <t>היסטולוגיה והתנהגות של רקמת גידול. אלה מקודדים לעתים קרובות באמצעות ICD-O שבו 4 הספרות הראשונות מציינים את ההיסטולוגיה, וספרה אחת לאחר קו נטוי מציין את ההתנהגות.</t>
  </si>
  <si>
    <t>קוד עבור מידת ההבחנה של הגידול</t>
  </si>
  <si>
    <t>המדד של חומרת הגידול, השלבים הם ספציפיים לסרטן והם מיוצגים באמצעות מספרים רומיים מ -0 עד IV, עם תת חטיבות באמצעות אותיות (למשל, שלב IIIB).</t>
  </si>
  <si>
    <t>גודל הגידול רכיב (T) של TNM staging.</t>
  </si>
  <si>
    <t>מספר בלוטות הלימפה המעורבות מרכיב (N) של  TNM staging.</t>
  </si>
  <si>
    <t>רכיב גרורתי (M) של TNM staging</t>
  </si>
  <si>
    <t>תאריך החזרה הראשונה של סרטן זה, לאחר תקופה של מחלה מתועדת ללא הפסקה או הפוגה.</t>
  </si>
  <si>
    <t xml:space="preserve">מציין אם יש יותר מאתר גידול אחד עיקרי. </t>
  </si>
  <si>
    <t>procedure_code_system</t>
  </si>
  <si>
    <t>procedure_code</t>
  </si>
  <si>
    <t>procedure_description</t>
  </si>
  <si>
    <t>procedure_date</t>
  </si>
  <si>
    <t>שם מערכת הקודים שבו מקודדות הפרוצדורות</t>
  </si>
  <si>
    <t>קוד הפרוצדורה</t>
  </si>
  <si>
    <t>תאור הפרוצדורה</t>
  </si>
  <si>
    <t>תאריך הפרוצדורה</t>
  </si>
  <si>
    <t>Measure_Date</t>
  </si>
  <si>
    <t>Vital_Sign_Code_System</t>
  </si>
  <si>
    <t>Vital_Sign_Code</t>
  </si>
  <si>
    <t>Vital_Sign_Description</t>
  </si>
  <si>
    <t>Vital_Sign_Value</t>
  </si>
  <si>
    <t>Vital_Sign_Numeric_Value</t>
  </si>
  <si>
    <t>Vital_Sign_Text_Value</t>
  </si>
  <si>
    <t>units_of_measure</t>
  </si>
  <si>
    <t>תאריך מדידה של סימן חיוני מסוים</t>
  </si>
  <si>
    <t>שם מערכת הקודים שבו מקודדים ה vital signs</t>
  </si>
  <si>
    <t>ערך של vital sign</t>
  </si>
  <si>
    <t>תאור vital sign</t>
  </si>
  <si>
    <t>קוד vital sign</t>
  </si>
  <si>
    <t>יחידת המידה של vital sign</t>
  </si>
  <si>
    <t>Column Name Amir</t>
  </si>
  <si>
    <t>Type Amir</t>
  </si>
  <si>
    <t>marital_status</t>
  </si>
  <si>
    <t>religion</t>
  </si>
  <si>
    <t>birth_country</t>
  </si>
  <si>
    <t>country_birth_father</t>
  </si>
  <si>
    <t>country_birth_mother</t>
  </si>
  <si>
    <t>migration_year_to_israel</t>
  </si>
  <si>
    <t>address</t>
  </si>
  <si>
    <t>ward_number</t>
  </si>
  <si>
    <t>ward_name</t>
  </si>
  <si>
    <t>phisycal_ward</t>
  </si>
  <si>
    <t>operation_number</t>
  </si>
  <si>
    <t>new_bedsore_subject</t>
  </si>
  <si>
    <t>De - identification plan Amir</t>
  </si>
  <si>
    <t>disease_conclusion</t>
  </si>
  <si>
    <t>event_type</t>
  </si>
  <si>
    <t>new_bedsore_indication</t>
  </si>
  <si>
    <t>burn</t>
  </si>
  <si>
    <t>drainage_from_bedsore</t>
  </si>
  <si>
    <t>look_heat_of_skin</t>
  </si>
  <si>
    <t>other_wounds</t>
  </si>
  <si>
    <t>bedsore_num_1</t>
  </si>
  <si>
    <t>bedsore_num_1_location</t>
  </si>
  <si>
    <t>bedsore_num_1_degree</t>
  </si>
  <si>
    <t>bedsore_num_1_side</t>
  </si>
  <si>
    <t>bedsore_num_1_size_depth</t>
  </si>
  <si>
    <t>bedsore_num_1_size_area</t>
  </si>
  <si>
    <t>bedsore_num_1_secrition</t>
  </si>
  <si>
    <t>bedsore_num_2_secrition</t>
  </si>
  <si>
    <t>bedsore_num_1_secrition_amount</t>
  </si>
  <si>
    <t>bedsore_num_2_secrition_amount</t>
  </si>
  <si>
    <t>bedsore_num_1_drainage_means</t>
  </si>
  <si>
    <t>bedsore_num_1_tissue_properties</t>
  </si>
  <si>
    <t>bedsore_num_2</t>
  </si>
  <si>
    <t>bedsore_num_2_location</t>
  </si>
  <si>
    <t>bedsore_num_2_side</t>
  </si>
  <si>
    <t>bedsore_num_2_degree</t>
  </si>
  <si>
    <t>bedsore_num_2_size_depth</t>
  </si>
  <si>
    <t>bedsore_num_2_size_area</t>
  </si>
  <si>
    <t>bedsore_num_2_tissue_properties</t>
  </si>
  <si>
    <t>bedsore_num_2_drainage_means</t>
  </si>
  <si>
    <t>bedsore_num_3</t>
  </si>
  <si>
    <t>bedsore_num_3_location</t>
  </si>
  <si>
    <t>bedsore_num_3_side</t>
  </si>
  <si>
    <t>bedsore_num_3_degree</t>
  </si>
  <si>
    <t>bedsore_num_3_size_depth</t>
  </si>
  <si>
    <t>bedsore_num_3_size_area</t>
  </si>
  <si>
    <t>bedsore_num_3_tissue_properties</t>
  </si>
  <si>
    <t>bedsore_num_3_secrition</t>
  </si>
  <si>
    <t>bedsore_num_3_secrition_amount</t>
  </si>
  <si>
    <t>bedsore_num_3_drainage_means</t>
  </si>
  <si>
    <t>bedsore_num_4_side</t>
  </si>
  <si>
    <t>bedsore_num_4</t>
  </si>
  <si>
    <t>bedsore_num_4_location</t>
  </si>
  <si>
    <t>bedsore_num_4_degree</t>
  </si>
  <si>
    <t>bedsore_num_4_size_depth</t>
  </si>
  <si>
    <t>bedsore_num_4_size_area</t>
  </si>
  <si>
    <t>bedsore_num_4_tissue_properties</t>
  </si>
  <si>
    <t>bedsore_num_4_secrition</t>
  </si>
  <si>
    <t>bedsore_num_4_secrition_amount</t>
  </si>
  <si>
    <t>bedsore_num_4_drainage_means</t>
  </si>
  <si>
    <t>gender</t>
  </si>
  <si>
    <t>date_time</t>
  </si>
  <si>
    <t>summary_number</t>
  </si>
  <si>
    <t>number_of_kids</t>
  </si>
  <si>
    <t>int</t>
  </si>
  <si>
    <t>birth_date</t>
  </si>
  <si>
    <t>hospitalization_date_time</t>
  </si>
  <si>
    <t>discharge_date_time</t>
  </si>
  <si>
    <t>operation_date_time</t>
  </si>
  <si>
    <t>בשלב זה לא ייקלט כי אין פתרון המרה לנ"צ</t>
  </si>
  <si>
    <t>smallint</t>
  </si>
  <si>
    <t>לא ממליץ שייקלט לשמורה: מכיל למשל גיל בעת הארוע שלא ניתן יהיה לזהות ולהתמים</t>
  </si>
  <si>
    <t>new_bedsore_remarks</t>
  </si>
  <si>
    <t>remarks_Amir</t>
  </si>
  <si>
    <t>Legnth Amir</t>
  </si>
  <si>
    <t>nvarchar</t>
  </si>
  <si>
    <t>(50)</t>
  </si>
  <si>
    <t>(150)</t>
  </si>
  <si>
    <t>(500)</t>
  </si>
  <si>
    <t>) ON [PRIMARY]
GO</t>
  </si>
  <si>
    <t>הזחה +7 ימים</t>
  </si>
  <si>
    <t>החלפה בקוד מטבלת LKP</t>
  </si>
  <si>
    <t>הזחה +3 שנים</t>
  </si>
  <si>
    <t>הזחה +5 ימים</t>
  </si>
  <si>
    <t>מיכאל טכמן ימיר את השנה לתאריך של היום הראשון באותה שנה</t>
  </si>
  <si>
    <t xml:space="preserve">התממת HASH /  like in the BI - AES </t>
  </si>
  <si>
    <t>אם מגיע ערך שאינו מתאים ל -Field type - לדחות את הקובץ כולו וליידע אותי</t>
  </si>
  <si>
    <t>אם מגיע ערך NULL ואתם חייבים להכניס ערך כלשהו, נא לשים -999. אם לא חייבים - להשאיר NULL</t>
  </si>
  <si>
    <t>אם מגיע ערך שהוא רווח בלבד בשדה, נא לשים NULL או  -999 (בהתאם להערה הקודמת)</t>
  </si>
  <si>
    <t>השורה הראשונה בקובץ היא Header</t>
  </si>
  <si>
    <t>הנחיות כלליות לצוות של מיכאל:</t>
  </si>
  <si>
    <t>USE [matmim]
GO
SET ANSI_NULLS ON
GO
SET QUOTED_IDENTIFIER ON
GO
CREATE TABLE [hds].[hadasa_bedsore](</t>
  </si>
  <si>
    <t>Type orig</t>
  </si>
  <si>
    <t>Column Name orig</t>
  </si>
  <si>
    <t>USE [matmim]
GO
SET ANSI_NULLS ON
GO
SET QUOTED_IDENTIFIER ON
GO
CREATE TABLE [hds].[hadasa_bedsore_diagnosis](</t>
  </si>
  <si>
    <t>עלול להגיע הערך "NULL"</t>
  </si>
  <si>
    <t>אם מגיע ערך = "NULL" יש להחליפו בערך NULL ושורת ההנחיה הקודמת תופסת</t>
  </si>
  <si>
    <t>(4000)</t>
  </si>
  <si>
    <t>(1)</t>
  </si>
  <si>
    <t>לטובת התממה צריך להמיר לתאריך</t>
  </si>
  <si>
    <t>השדה diagnosis_date יגיע כ - INT בפורמט YYYYMMDD. יש להמיר את תוכנו לתאריך</t>
  </si>
  <si>
    <t>השדה migration_year_to_israel יגיע כ- int. 
יש להמיר את תוכנו ואת ה - Type שלו ל -  date כך: את השנה לתאריך מלא של היום הראשון באותה שנה</t>
  </si>
  <si>
    <t>USE [matmim]
GO
SET ANSI_NULLS ON
GO
SET QUOTED_IDENTIFIER ON
GO
CREATE TABLE [hds].[hadasa_bedsore_lab_results_data](</t>
  </si>
  <si>
    <t>יכול להגיע הערך "NULL"</t>
  </si>
  <si>
    <t>הזחה + 5 ימים</t>
  </si>
  <si>
    <t>(300)</t>
  </si>
  <si>
    <t>(200)</t>
  </si>
  <si>
    <t>(100)</t>
  </si>
  <si>
    <t>(5)</t>
  </si>
  <si>
    <t>(20)</t>
  </si>
  <si>
    <t>USE [matmim]
GO
SET ANSI_NULLS ON
GO
SET QUOTED_IDENTIFIER ON
GO
CREATE TABLE [hds].[hadasa_bedsore_medication_data](</t>
  </si>
  <si>
    <t>יכול להגיע הערך "NULL"
לא ברור מהדאטה שנשלח האם זה INT או DECIMAL ולכן בחרתי ב - NVARCHAR (כי הכל "NULL")</t>
  </si>
  <si>
    <t>יכול להגיע הערך "NULL"
למעשה אין במה שנשלח ערכים אחרים ולכן type=nvarchar</t>
  </si>
  <si>
    <t>אם שם קובץ ה - CSV שיגיע יהיה פצעי לחץ_Medication_Data  יש לשנות אותו ל - hadasa_bedsore_medication_data</t>
  </si>
  <si>
    <t>אם שם קובץ ה - CSV שיגיע יהיה פצעי לחץ_Lab_Results_Data  יש לשנות אותו ל - hadasa_bedsore_lab_results_data</t>
  </si>
  <si>
    <t>אם שם קובץ ה - CSV שיגיע יהיה פצעי לחץ_diagnosis  יש לשנות אותו ל - hadasa_bedsore_diagnosis</t>
  </si>
  <si>
    <t>אם שם קובץ ה - CSV שיגיע יהיה פצעי לחץ_1.1  יש לשנות אותו ל - hadasa_bedsore</t>
  </si>
  <si>
    <t>(1000)</t>
  </si>
  <si>
    <t>USE [matmim]
GO
SET ANSI_NULLS ON
GO
SET QUOTED_IDENTIFIER ON
GO
CREATE TABLE [hds].[hadasa_bedsore_vital_signs_data](</t>
  </si>
  <si>
    <t>USE [matmim]
GO
SET ANSI_NULLS ON
GO
SET QUOTED_IDENTIFIER ON
GO
CREATE TABLE [hds].[hadasa_bedsore_procedure_data](</t>
  </si>
  <si>
    <t>USE [matmim]
GO
SET ANSI_NULLS ON
GO
SET QUOTED_IDENTIFIER ON
GO
CREATE TABLE [hds].[hadasa_bedsore_oncology_data](</t>
  </si>
  <si>
    <t>אם שם קובץ ה - CSV שיגיע יהיה פצעי לחץ_Oncology_Data  יש לשנות אותו ל - hadasa_bedsore_oncology_data</t>
  </si>
  <si>
    <t>אם שם קובץ ה - CSV שיגיע יהיה פצעי לחץ_Procedure_Data יש לשנות אותו ל - hadasa_bedsore_procedure_data</t>
  </si>
  <si>
    <t>אם שם קובץ ה - CSV שיגיע יהיה פצעי לחץ_Vital_Signs_Data  יש לשנות אותו ל - hadasa_bedsore_vital_signs_data</t>
  </si>
  <si>
    <t>provider_desc</t>
  </si>
  <si>
    <t>השדה Test_date יגיע בפורמט YYYYMMDD. יש להמיר את תוכנו לתאריך</t>
  </si>
  <si>
    <t>השדה Start_date יגיע בפורמט YYYYMMDD. יש להמיר את תוכנו לתאריך</t>
  </si>
  <si>
    <t>(10)</t>
  </si>
  <si>
    <t>(30)</t>
  </si>
  <si>
    <t>השדה date_of_diagnosis יגיע בפורמט YYYYMMDD. יש להמיר את תוכנו לתאריך</t>
  </si>
  <si>
    <t>השדה observation_date יגיע בפורמט YYYYMMDD. יש להמיר את תוכנו לתאריך</t>
  </si>
  <si>
    <t>השדה recurrence_date יגיע בפורמט YYYYMMDD. יש להמיר את תוכנו לתאריך</t>
  </si>
  <si>
    <t>השדה procedure_date יגיע בפורמט YYYYMMDD. יש להמיר את תוכנו לתאריך</t>
  </si>
  <si>
    <t>השדה Measure_Date יגיע בפורמט YYYYMMDD. יש להמיר את תוכנו לתאריך</t>
  </si>
  <si>
    <t>(2)</t>
  </si>
  <si>
    <t>אם שמות השדות שיגיעו יהיו לפי מה שרשום בעמודה Column Name orig יש להחליפם בשמות המופיעים בעמודה Column Name Amir (- אלו השמות שרשמתי ב - create table)</t>
  </si>
  <si>
    <t>לא ייקלט לשמורה אלא יישמר ה - LKP מהשדה מספר מחלקה</t>
  </si>
  <si>
    <t>החלפה בקוד מטבלת LKP והשם של השדה בשמורה יהיה provider_id</t>
  </si>
  <si>
    <t>החלפה בקוד מטבלת LKP - הערך להחלפה ייקבע מול ערכי טבלת המחלקות שב - DWH (אם הקודים שב - DWH לא חופפים לערך שמגיע מהדסה, יהיה צורך לבצע מיפוי של הערכים שמגיעים לטובת המרתם בערכים מה - DWH)</t>
  </si>
  <si>
    <t>Column Name Resort</t>
  </si>
  <si>
    <t>gender_code</t>
  </si>
  <si>
    <t>marital_status_code</t>
  </si>
  <si>
    <t>religion_code</t>
  </si>
  <si>
    <t>birth_country_code</t>
  </si>
  <si>
    <t>country_birth_father_code</t>
  </si>
  <si>
    <t>country_birth_mother_code</t>
  </si>
  <si>
    <t>provider_code</t>
  </si>
  <si>
    <t>ward_number_code</t>
  </si>
  <si>
    <t>phisycal_ward_code</t>
  </si>
  <si>
    <t>Provider_code</t>
  </si>
  <si>
    <t>יש להחליף את תוכנו של השדה address ב -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</si>
</sst>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  <font>
      <sz val="9"/>
      <color indexed="81"/>
      <name val="Tahoma"/>
      <family val="2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sz val="9"/>
      <color indexed="81"/>
      <name val="Tahoma"/>
      <family val="2"/>
    </font>
    <font>
      <strike/>
      <sz val="11"/>
      <color theme="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3" borderId="0" xfId="0" applyFill="1" applyBorder="1"/>
    <xf numFmtId="0" fontId="0" fillId="0" borderId="0" xfId="0" applyBorder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2" xfId="0" applyFill="1" applyBorder="1" applyAlignment="1">
      <alignment vertical="top" wrapText="1"/>
    </xf>
    <xf numFmtId="0" fontId="0" fillId="0" borderId="0" xfId="0" applyAlignment="1">
      <alignment vertical="top"/>
    </xf>
    <xf numFmtId="0" fontId="2" fillId="5" borderId="1" xfId="0" applyFont="1" applyFill="1" applyBorder="1" applyAlignment="1">
      <alignment horizontal="center" vertical="top"/>
    </xf>
    <xf numFmtId="49" fontId="2" fillId="5" borderId="1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 wrapText="1"/>
    </xf>
    <xf numFmtId="49" fontId="2" fillId="5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49" fontId="7" fillId="2" borderId="1" xfId="0" applyNumberFormat="1" applyFont="1" applyFill="1" applyBorder="1" applyAlignment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0" fillId="0" borderId="1" xfId="0" applyFill="1" applyBorder="1"/>
    <xf numFmtId="0" fontId="0" fillId="2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49" fontId="0" fillId="2" borderId="1" xfId="0" applyNumberFormat="1" applyFill="1" applyBorder="1" applyAlignment="1">
      <alignment vertical="top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3"/>
  <sheetViews>
    <sheetView rightToLeft="1" tabSelected="1" topLeftCell="J1" zoomScale="60" zoomScaleNormal="60" workbookViewId="0">
      <pane ySplit="1" topLeftCell="A8" activePane="bottomLeft" state="frozen"/>
      <selection pane="bottomLeft" activeCell="O10" sqref="O10"/>
    </sheetView>
  </sheetViews>
  <sheetFormatPr defaultColWidth="9" defaultRowHeight="13.8" x14ac:dyDescent="0.25"/>
  <cols>
    <col min="1" max="1" width="24.69921875" style="8" bestFit="1" customWidth="1"/>
    <col min="2" max="2" width="29.19921875" style="8" bestFit="1" customWidth="1"/>
    <col min="3" max="3" width="19.8984375" style="5" customWidth="1"/>
    <col min="4" max="4" width="15.59765625" style="19" customWidth="1"/>
    <col min="5" max="5" width="19.8984375" style="13" customWidth="1"/>
    <col min="6" max="6" width="19.8984375" style="5" customWidth="1"/>
    <col min="7" max="7" width="19.8984375" style="8" hidden="1" customWidth="1"/>
    <col min="8" max="8" width="26.5" style="5" bestFit="1" customWidth="1"/>
    <col min="9" max="9" width="29.19921875" style="8" bestFit="1" customWidth="1"/>
    <col min="10" max="10" width="58" style="8" bestFit="1" customWidth="1"/>
    <col min="11" max="11" width="13.19921875" style="8" hidden="1" customWidth="1"/>
    <col min="12" max="12" width="23.19921875" style="8" customWidth="1"/>
    <col min="13" max="13" width="72.796875" style="8" customWidth="1"/>
    <col min="14" max="14" width="9" style="8"/>
    <col min="15" max="15" width="53" style="8" customWidth="1"/>
    <col min="16" max="16384" width="9" style="8"/>
  </cols>
  <sheetData>
    <row r="1" spans="1:15" ht="150" customHeight="1" x14ac:dyDescent="0.25">
      <c r="A1" s="20" t="s">
        <v>362</v>
      </c>
      <c r="B1" s="6" t="s">
        <v>267</v>
      </c>
      <c r="C1" s="7" t="s">
        <v>268</v>
      </c>
      <c r="D1" s="20" t="s">
        <v>361</v>
      </c>
      <c r="E1" s="21" t="s">
        <v>343</v>
      </c>
      <c r="F1" s="7" t="s">
        <v>342</v>
      </c>
      <c r="G1" s="6" t="s">
        <v>1</v>
      </c>
      <c r="H1" s="7" t="s">
        <v>281</v>
      </c>
      <c r="I1" s="6" t="s">
        <v>408</v>
      </c>
      <c r="J1" s="6" t="s">
        <v>76</v>
      </c>
      <c r="K1" s="20" t="s">
        <v>78</v>
      </c>
      <c r="M1" s="5" t="s">
        <v>360</v>
      </c>
      <c r="O1" s="14" t="s">
        <v>359</v>
      </c>
    </row>
    <row r="2" spans="1:15" ht="27.6" x14ac:dyDescent="0.25">
      <c r="A2" s="8" t="s">
        <v>3</v>
      </c>
      <c r="B2" s="8" t="s">
        <v>132</v>
      </c>
      <c r="C2" s="12" t="s">
        <v>344</v>
      </c>
      <c r="D2" s="8" t="s">
        <v>73</v>
      </c>
      <c r="E2" s="13" t="s">
        <v>345</v>
      </c>
      <c r="G2" s="8" t="s">
        <v>73</v>
      </c>
      <c r="H2" s="5" t="s">
        <v>354</v>
      </c>
      <c r="I2" s="8" t="s">
        <v>132</v>
      </c>
      <c r="J2" s="8" t="s">
        <v>141</v>
      </c>
      <c r="K2" s="8" t="s">
        <v>80</v>
      </c>
      <c r="L2" s="15"/>
      <c r="M2" s="8" t="str">
        <f>+CONCATENATE("[",B2,"] [",C2,"]",E2, " NOT NULL")</f>
        <v>[patient_id] [nvarchar](50) NOT NULL</v>
      </c>
      <c r="O2" s="5" t="s">
        <v>385</v>
      </c>
    </row>
    <row r="3" spans="1:15" ht="41.4" x14ac:dyDescent="0.25">
      <c r="A3" s="8" t="s">
        <v>4</v>
      </c>
      <c r="B3" s="8" t="s">
        <v>334</v>
      </c>
      <c r="C3" s="5" t="s">
        <v>74</v>
      </c>
      <c r="D3" s="8" t="s">
        <v>74</v>
      </c>
      <c r="G3" s="8" t="s">
        <v>330</v>
      </c>
      <c r="H3" s="5" t="s">
        <v>349</v>
      </c>
      <c r="I3" s="8" t="s">
        <v>334</v>
      </c>
      <c r="J3" s="8" t="s">
        <v>79</v>
      </c>
      <c r="K3" s="8" t="s">
        <v>80</v>
      </c>
      <c r="L3" s="15"/>
      <c r="M3" s="8" t="str">
        <f t="shared" ref="M3:M12" si="0">+CONCATENATE(",[",B3,"] [",C3,"]",E3, " NULL")</f>
        <v>,[birth_date] [date] NULL</v>
      </c>
      <c r="O3" s="18" t="s">
        <v>404</v>
      </c>
    </row>
    <row r="4" spans="1:15" ht="27.6" x14ac:dyDescent="0.25">
      <c r="A4" s="8" t="s">
        <v>5</v>
      </c>
      <c r="B4" s="9" t="s">
        <v>329</v>
      </c>
      <c r="C4" s="12" t="s">
        <v>344</v>
      </c>
      <c r="D4" s="8" t="s">
        <v>75</v>
      </c>
      <c r="E4" s="13" t="s">
        <v>345</v>
      </c>
      <c r="G4" s="8" t="s">
        <v>75</v>
      </c>
      <c r="H4" s="5" t="s">
        <v>350</v>
      </c>
      <c r="I4" s="11" t="s">
        <v>409</v>
      </c>
      <c r="J4" s="8" t="s">
        <v>5</v>
      </c>
      <c r="K4" s="8" t="s">
        <v>80</v>
      </c>
      <c r="L4" s="15"/>
      <c r="M4" s="8" t="str">
        <f t="shared" si="0"/>
        <v>,[gender] [nvarchar](50) NULL</v>
      </c>
      <c r="O4" s="16" t="s">
        <v>355</v>
      </c>
    </row>
    <row r="5" spans="1:15" ht="27.6" x14ac:dyDescent="0.25">
      <c r="A5" s="8" t="s">
        <v>6</v>
      </c>
      <c r="B5" s="9" t="s">
        <v>269</v>
      </c>
      <c r="C5" s="12" t="s">
        <v>344</v>
      </c>
      <c r="D5" s="8" t="s">
        <v>75</v>
      </c>
      <c r="E5" s="13" t="s">
        <v>345</v>
      </c>
      <c r="G5" s="8" t="s">
        <v>75</v>
      </c>
      <c r="H5" s="5" t="s">
        <v>350</v>
      </c>
      <c r="I5" s="11" t="s">
        <v>410</v>
      </c>
      <c r="J5" s="8" t="s">
        <v>6</v>
      </c>
      <c r="K5" s="8" t="s">
        <v>80</v>
      </c>
      <c r="L5" s="15"/>
      <c r="M5" s="8" t="str">
        <f t="shared" si="0"/>
        <v>,[marital_status] [nvarchar](50) NULL</v>
      </c>
      <c r="O5" s="17" t="s">
        <v>356</v>
      </c>
    </row>
    <row r="6" spans="1:15" ht="27.6" x14ac:dyDescent="0.25">
      <c r="A6" s="8" t="s">
        <v>7</v>
      </c>
      <c r="B6" s="9" t="s">
        <v>270</v>
      </c>
      <c r="C6" s="12" t="s">
        <v>344</v>
      </c>
      <c r="D6" s="8" t="s">
        <v>75</v>
      </c>
      <c r="E6" s="13" t="s">
        <v>345</v>
      </c>
      <c r="G6" s="8" t="s">
        <v>75</v>
      </c>
      <c r="H6" s="5" t="s">
        <v>350</v>
      </c>
      <c r="I6" s="11" t="s">
        <v>411</v>
      </c>
      <c r="J6" s="8" t="s">
        <v>7</v>
      </c>
      <c r="K6" s="8" t="s">
        <v>80</v>
      </c>
      <c r="L6" s="15"/>
      <c r="M6" s="8" t="str">
        <f t="shared" si="0"/>
        <v>,[religion] [nvarchar](50) NULL</v>
      </c>
      <c r="O6" s="17" t="s">
        <v>365</v>
      </c>
    </row>
    <row r="7" spans="1:15" ht="27.6" x14ac:dyDescent="0.25">
      <c r="A7" s="8" t="s">
        <v>8</v>
      </c>
      <c r="B7" s="9" t="s">
        <v>271</v>
      </c>
      <c r="C7" s="12" t="s">
        <v>344</v>
      </c>
      <c r="D7" s="8" t="s">
        <v>75</v>
      </c>
      <c r="E7" s="13" t="s">
        <v>346</v>
      </c>
      <c r="G7" s="8" t="s">
        <v>75</v>
      </c>
      <c r="H7" s="5" t="s">
        <v>350</v>
      </c>
      <c r="I7" s="11" t="s">
        <v>412</v>
      </c>
      <c r="J7" s="8" t="s">
        <v>8</v>
      </c>
      <c r="K7" s="8" t="s">
        <v>80</v>
      </c>
      <c r="L7" s="15"/>
      <c r="M7" s="8" t="str">
        <f t="shared" si="0"/>
        <v>,[birth_country] [nvarchar](150) NULL</v>
      </c>
      <c r="O7" s="17" t="s">
        <v>357</v>
      </c>
    </row>
    <row r="8" spans="1:15" x14ac:dyDescent="0.25">
      <c r="A8" s="8" t="s">
        <v>9</v>
      </c>
      <c r="B8" s="9" t="s">
        <v>272</v>
      </c>
      <c r="C8" s="12" t="s">
        <v>344</v>
      </c>
      <c r="D8" s="8" t="s">
        <v>75</v>
      </c>
      <c r="E8" s="13" t="s">
        <v>346</v>
      </c>
      <c r="G8" s="8" t="s">
        <v>75</v>
      </c>
      <c r="H8" s="5" t="s">
        <v>350</v>
      </c>
      <c r="I8" s="11" t="s">
        <v>413</v>
      </c>
      <c r="J8" s="8" t="s">
        <v>9</v>
      </c>
      <c r="K8" s="8" t="s">
        <v>80</v>
      </c>
      <c r="M8" s="8" t="str">
        <f t="shared" si="0"/>
        <v>,[country_birth_father] [nvarchar](150) NULL</v>
      </c>
      <c r="O8" s="16" t="s">
        <v>358</v>
      </c>
    </row>
    <row r="9" spans="1:15" ht="41.4" x14ac:dyDescent="0.25">
      <c r="A9" s="8" t="s">
        <v>10</v>
      </c>
      <c r="B9" s="9" t="s">
        <v>273</v>
      </c>
      <c r="C9" s="12" t="s">
        <v>344</v>
      </c>
      <c r="D9" s="8" t="s">
        <v>75</v>
      </c>
      <c r="E9" s="13" t="s">
        <v>346</v>
      </c>
      <c r="G9" s="8" t="s">
        <v>75</v>
      </c>
      <c r="H9" s="5" t="s">
        <v>350</v>
      </c>
      <c r="I9" s="11" t="s">
        <v>414</v>
      </c>
      <c r="J9" s="8" t="s">
        <v>10</v>
      </c>
      <c r="K9" s="8" t="s">
        <v>80</v>
      </c>
      <c r="M9" s="8" t="str">
        <f t="shared" si="0"/>
        <v>,[country_birth_mother] [nvarchar](150) NULL</v>
      </c>
      <c r="O9" s="16" t="s">
        <v>370</v>
      </c>
    </row>
    <row r="10" spans="1:15" x14ac:dyDescent="0.25">
      <c r="A10" s="8" t="s">
        <v>11</v>
      </c>
      <c r="B10" s="8" t="s">
        <v>332</v>
      </c>
      <c r="C10" s="5" t="s">
        <v>339</v>
      </c>
      <c r="D10" s="8" t="s">
        <v>73</v>
      </c>
      <c r="G10" s="8" t="s">
        <v>73</v>
      </c>
      <c r="I10" s="11" t="s">
        <v>332</v>
      </c>
      <c r="J10" s="8" t="s">
        <v>11</v>
      </c>
      <c r="K10" s="8" t="s">
        <v>80</v>
      </c>
      <c r="M10" s="8" t="str">
        <f t="shared" si="0"/>
        <v>,[number_of_kids] [smallint] NULL</v>
      </c>
      <c r="O10" s="4" t="s">
        <v>419</v>
      </c>
    </row>
    <row r="11" spans="1:15" ht="41.4" x14ac:dyDescent="0.25">
      <c r="A11" s="8" t="s">
        <v>12</v>
      </c>
      <c r="B11" s="10" t="s">
        <v>274</v>
      </c>
      <c r="C11" s="5" t="s">
        <v>333</v>
      </c>
      <c r="D11" s="8" t="s">
        <v>73</v>
      </c>
      <c r="F11" s="5" t="s">
        <v>353</v>
      </c>
      <c r="G11" s="8" t="s">
        <v>73</v>
      </c>
      <c r="H11" s="5" t="s">
        <v>351</v>
      </c>
      <c r="I11" s="11" t="s">
        <v>274</v>
      </c>
      <c r="J11" s="8" t="s">
        <v>12</v>
      </c>
      <c r="K11" s="8" t="s">
        <v>80</v>
      </c>
      <c r="M11" s="8" t="str">
        <f t="shared" si="0"/>
        <v>,[migration_year_to_israel] [int] NULL</v>
      </c>
    </row>
    <row r="12" spans="1:15" s="36" customFormat="1" ht="27.6" x14ac:dyDescent="0.25">
      <c r="A12" s="36" t="s">
        <v>13</v>
      </c>
      <c r="B12" s="36" t="s">
        <v>275</v>
      </c>
      <c r="C12" s="38" t="s">
        <v>344</v>
      </c>
      <c r="D12" s="39" t="s">
        <v>75</v>
      </c>
      <c r="E12" s="40" t="s">
        <v>346</v>
      </c>
      <c r="F12" s="37" t="s">
        <v>338</v>
      </c>
      <c r="G12" s="36" t="s">
        <v>75</v>
      </c>
      <c r="H12" s="37"/>
      <c r="J12" s="36" t="s">
        <v>13</v>
      </c>
      <c r="K12" s="36" t="s">
        <v>80</v>
      </c>
      <c r="M12" s="39" t="str">
        <f t="shared" si="0"/>
        <v>,[address] [nvarchar](150) NULL</v>
      </c>
    </row>
    <row r="13" spans="1:15" ht="41.4" x14ac:dyDescent="0.25">
      <c r="A13" s="8" t="s">
        <v>14</v>
      </c>
      <c r="B13" s="2" t="s">
        <v>393</v>
      </c>
      <c r="C13" s="12" t="s">
        <v>344</v>
      </c>
      <c r="D13" s="8" t="s">
        <v>75</v>
      </c>
      <c r="E13" s="13" t="s">
        <v>346</v>
      </c>
      <c r="G13" s="8" t="s">
        <v>75</v>
      </c>
      <c r="H13" s="5" t="s">
        <v>406</v>
      </c>
      <c r="I13" s="35" t="s">
        <v>415</v>
      </c>
      <c r="J13" s="8" t="s">
        <v>142</v>
      </c>
      <c r="K13" s="8" t="s">
        <v>80</v>
      </c>
      <c r="M13" s="8" t="str">
        <f>+CONCATENATE(",[",B13,"] [",C13,"]",E13, " NULL")</f>
        <v>,[provider_desc] [nvarchar](150) NULL</v>
      </c>
    </row>
    <row r="14" spans="1:15" x14ac:dyDescent="0.25">
      <c r="A14" s="8" t="s">
        <v>15</v>
      </c>
      <c r="B14" s="1" t="s">
        <v>133</v>
      </c>
      <c r="C14" s="5" t="s">
        <v>333</v>
      </c>
      <c r="D14" s="8" t="s">
        <v>75</v>
      </c>
      <c r="G14" s="8" t="s">
        <v>75</v>
      </c>
      <c r="I14" s="1" t="s">
        <v>133</v>
      </c>
      <c r="J14" s="8" t="s">
        <v>15</v>
      </c>
      <c r="K14" s="8" t="s">
        <v>81</v>
      </c>
      <c r="M14" s="8" t="str">
        <f>+CONCATENATE(",[",B14,"] [",C14,"]",E14, " NULL")</f>
        <v>,[encounter_id] [int] NULL</v>
      </c>
    </row>
    <row r="15" spans="1:15" x14ac:dyDescent="0.25">
      <c r="A15" s="8" t="s">
        <v>16</v>
      </c>
      <c r="B15" s="8" t="s">
        <v>331</v>
      </c>
      <c r="C15" s="5" t="s">
        <v>333</v>
      </c>
      <c r="D15" s="8" t="s">
        <v>73</v>
      </c>
      <c r="G15" s="8" t="s">
        <v>73</v>
      </c>
      <c r="I15" s="8" t="s">
        <v>331</v>
      </c>
      <c r="J15" s="8" t="s">
        <v>83</v>
      </c>
      <c r="K15" s="8" t="s">
        <v>82</v>
      </c>
      <c r="M15" s="8" t="str">
        <f>+CONCATENATE(",[",B15,"] [",C15,"]",E15, " NULL")</f>
        <v>,[summary_number] [int] NULL</v>
      </c>
    </row>
    <row r="16" spans="1:15" ht="96.6" x14ac:dyDescent="0.25">
      <c r="A16" s="8" t="s">
        <v>17</v>
      </c>
      <c r="B16" s="8" t="s">
        <v>276</v>
      </c>
      <c r="C16" s="5" t="s">
        <v>333</v>
      </c>
      <c r="D16" s="8" t="s">
        <v>75</v>
      </c>
      <c r="G16" s="8" t="s">
        <v>75</v>
      </c>
      <c r="H16" s="5" t="s">
        <v>407</v>
      </c>
      <c r="I16" s="8" t="s">
        <v>416</v>
      </c>
      <c r="J16" s="8" t="s">
        <v>17</v>
      </c>
      <c r="K16" s="8" t="s">
        <v>82</v>
      </c>
      <c r="M16" s="8" t="str">
        <f>+CONCATENATE(",[",B16,"] [",C16,"]",E16, " NULL")</f>
        <v>,[ward_number] [int] NULL</v>
      </c>
    </row>
    <row r="17" spans="1:13" s="31" customFormat="1" ht="41.4" x14ac:dyDescent="0.25">
      <c r="A17" s="31" t="s">
        <v>18</v>
      </c>
      <c r="B17" s="31" t="s">
        <v>277</v>
      </c>
      <c r="C17" s="30"/>
      <c r="D17" s="31" t="s">
        <v>75</v>
      </c>
      <c r="E17" s="33"/>
      <c r="F17" s="30" t="s">
        <v>405</v>
      </c>
      <c r="G17" s="31" t="s">
        <v>75</v>
      </c>
      <c r="H17" s="30"/>
      <c r="I17" s="31" t="s">
        <v>277</v>
      </c>
      <c r="J17" s="31" t="s">
        <v>18</v>
      </c>
      <c r="K17" s="31" t="s">
        <v>82</v>
      </c>
      <c r="M17" s="32"/>
    </row>
    <row r="18" spans="1:13" s="11" customFormat="1" x14ac:dyDescent="0.25">
      <c r="A18" s="11" t="s">
        <v>19</v>
      </c>
      <c r="B18" s="9" t="s">
        <v>278</v>
      </c>
      <c r="C18" s="12" t="s">
        <v>344</v>
      </c>
      <c r="D18" s="8" t="s">
        <v>75</v>
      </c>
      <c r="E18" s="13" t="s">
        <v>346</v>
      </c>
      <c r="F18" s="12"/>
      <c r="G18" s="11" t="s">
        <v>75</v>
      </c>
      <c r="H18" s="5" t="s">
        <v>350</v>
      </c>
      <c r="I18" s="11" t="s">
        <v>417</v>
      </c>
      <c r="J18" s="11" t="s">
        <v>86</v>
      </c>
      <c r="K18" s="11" t="s">
        <v>82</v>
      </c>
      <c r="M18" s="8" t="str">
        <f t="shared" ref="M18:M23" si="1">+CONCATENATE(",[",B18,"] [",C18,"]",E18, " NULL")</f>
        <v>,[phisycal_ward] [nvarchar](150) NULL</v>
      </c>
    </row>
    <row r="19" spans="1:13" x14ac:dyDescent="0.25">
      <c r="A19" s="8" t="s">
        <v>20</v>
      </c>
      <c r="B19" s="8" t="s">
        <v>335</v>
      </c>
      <c r="C19" s="5" t="s">
        <v>2</v>
      </c>
      <c r="D19" s="8" t="s">
        <v>2</v>
      </c>
      <c r="G19" s="8" t="s">
        <v>2</v>
      </c>
      <c r="H19" s="5" t="s">
        <v>352</v>
      </c>
      <c r="I19" s="8" t="s">
        <v>335</v>
      </c>
      <c r="J19" s="8" t="s">
        <v>87</v>
      </c>
      <c r="K19" s="8" t="s">
        <v>82</v>
      </c>
      <c r="M19" s="8" t="str">
        <f t="shared" si="1"/>
        <v>,[hospitalization_date_time] [datetime] NULL</v>
      </c>
    </row>
    <row r="20" spans="1:13" x14ac:dyDescent="0.25">
      <c r="A20" s="8" t="s">
        <v>21</v>
      </c>
      <c r="B20" s="8" t="s">
        <v>336</v>
      </c>
      <c r="C20" s="5" t="s">
        <v>2</v>
      </c>
      <c r="D20" s="8" t="s">
        <v>2</v>
      </c>
      <c r="G20" s="8" t="s">
        <v>2</v>
      </c>
      <c r="H20" s="5" t="s">
        <v>352</v>
      </c>
      <c r="I20" s="8" t="s">
        <v>336</v>
      </c>
      <c r="J20" s="8" t="s">
        <v>88</v>
      </c>
      <c r="K20" s="8" t="s">
        <v>82</v>
      </c>
      <c r="M20" s="8" t="str">
        <f t="shared" si="1"/>
        <v>,[discharge_date_time] [datetime] NULL</v>
      </c>
    </row>
    <row r="21" spans="1:13" x14ac:dyDescent="0.25">
      <c r="A21" s="8" t="s">
        <v>22</v>
      </c>
      <c r="B21" s="8" t="s">
        <v>279</v>
      </c>
      <c r="C21" s="5" t="s">
        <v>333</v>
      </c>
      <c r="D21" s="8" t="s">
        <v>73</v>
      </c>
      <c r="G21" s="8" t="s">
        <v>73</v>
      </c>
      <c r="I21" s="8" t="s">
        <v>279</v>
      </c>
      <c r="J21" s="8" t="s">
        <v>22</v>
      </c>
      <c r="K21" s="8" t="s">
        <v>84</v>
      </c>
      <c r="M21" s="8" t="str">
        <f t="shared" si="1"/>
        <v>,[operation_number] [int] NULL</v>
      </c>
    </row>
    <row r="22" spans="1:13" x14ac:dyDescent="0.25">
      <c r="A22" s="8" t="s">
        <v>23</v>
      </c>
      <c r="B22" s="8" t="s">
        <v>337</v>
      </c>
      <c r="C22" s="5" t="s">
        <v>2</v>
      </c>
      <c r="D22" s="8" t="s">
        <v>2</v>
      </c>
      <c r="G22" s="8" t="s">
        <v>2</v>
      </c>
      <c r="H22" s="5" t="s">
        <v>352</v>
      </c>
      <c r="I22" s="8" t="s">
        <v>337</v>
      </c>
      <c r="J22" s="8" t="s">
        <v>77</v>
      </c>
      <c r="K22" s="8" t="s">
        <v>84</v>
      </c>
      <c r="M22" s="8" t="str">
        <f t="shared" si="1"/>
        <v>,[operation_date_time] [datetime] NULL</v>
      </c>
    </row>
    <row r="23" spans="1:13" x14ac:dyDescent="0.25">
      <c r="A23" s="8" t="s">
        <v>24</v>
      </c>
      <c r="B23" s="8" t="s">
        <v>283</v>
      </c>
      <c r="C23" s="12" t="s">
        <v>344</v>
      </c>
      <c r="D23" s="8" t="s">
        <v>75</v>
      </c>
      <c r="E23" s="13" t="s">
        <v>346</v>
      </c>
      <c r="G23" s="8" t="s">
        <v>75</v>
      </c>
      <c r="I23" s="8" t="s">
        <v>283</v>
      </c>
      <c r="J23" s="8" t="s">
        <v>89</v>
      </c>
      <c r="K23" s="8" t="s">
        <v>81</v>
      </c>
      <c r="M23" s="8" t="str">
        <f t="shared" si="1"/>
        <v>,[event_type] [nvarchar](150) NULL</v>
      </c>
    </row>
    <row r="24" spans="1:13" s="31" customFormat="1" ht="55.2" x14ac:dyDescent="0.25">
      <c r="A24" s="31" t="s">
        <v>25</v>
      </c>
      <c r="B24" s="31" t="s">
        <v>282</v>
      </c>
      <c r="D24" s="31" t="s">
        <v>75</v>
      </c>
      <c r="E24" s="34"/>
      <c r="F24" s="30" t="s">
        <v>340</v>
      </c>
      <c r="G24" s="31" t="s">
        <v>75</v>
      </c>
      <c r="H24" s="30"/>
      <c r="I24" s="31" t="s">
        <v>282</v>
      </c>
      <c r="J24" s="31" t="s">
        <v>85</v>
      </c>
      <c r="K24" s="31" t="s">
        <v>82</v>
      </c>
      <c r="M24" s="32"/>
    </row>
    <row r="25" spans="1:13" s="11" customFormat="1" x14ac:dyDescent="0.25">
      <c r="A25" s="11" t="s">
        <v>26</v>
      </c>
      <c r="B25" s="11" t="s">
        <v>280</v>
      </c>
      <c r="C25" s="12" t="s">
        <v>344</v>
      </c>
      <c r="D25" s="8" t="s">
        <v>75</v>
      </c>
      <c r="E25" s="13" t="s">
        <v>346</v>
      </c>
      <c r="F25" s="12"/>
      <c r="G25" s="11" t="s">
        <v>75</v>
      </c>
      <c r="H25" s="12"/>
      <c r="I25" s="11" t="s">
        <v>280</v>
      </c>
      <c r="J25" s="11" t="s">
        <v>90</v>
      </c>
      <c r="K25" s="11" t="s">
        <v>82</v>
      </c>
      <c r="M25" s="8" t="str">
        <f t="shared" ref="M25:M71" si="2">+CONCATENATE(",[",B25,"] [",C25,"]",E25, " NULL")</f>
        <v>,[new_bedsore_subject] [nvarchar](150) NULL</v>
      </c>
    </row>
    <row r="26" spans="1:13" x14ac:dyDescent="0.25">
      <c r="A26" s="8" t="s">
        <v>27</v>
      </c>
      <c r="B26" s="8" t="s">
        <v>284</v>
      </c>
      <c r="C26" s="12" t="s">
        <v>344</v>
      </c>
      <c r="D26" s="8" t="s">
        <v>75</v>
      </c>
      <c r="E26" s="13" t="s">
        <v>346</v>
      </c>
      <c r="F26" s="8"/>
      <c r="G26" s="8" t="s">
        <v>75</v>
      </c>
      <c r="I26" s="8" t="s">
        <v>284</v>
      </c>
      <c r="J26" s="8" t="s">
        <v>93</v>
      </c>
      <c r="K26" s="8" t="s">
        <v>82</v>
      </c>
      <c r="M26" s="8" t="str">
        <f t="shared" si="2"/>
        <v>,[new_bedsore_indication] [nvarchar](150) NULL</v>
      </c>
    </row>
    <row r="27" spans="1:13" s="11" customFormat="1" x14ac:dyDescent="0.25">
      <c r="A27" s="11" t="s">
        <v>28</v>
      </c>
      <c r="B27" s="11" t="s">
        <v>341</v>
      </c>
      <c r="C27" s="12" t="s">
        <v>344</v>
      </c>
      <c r="D27" s="8" t="s">
        <v>75</v>
      </c>
      <c r="E27" s="13" t="s">
        <v>347</v>
      </c>
      <c r="F27" s="5"/>
      <c r="G27" s="11" t="s">
        <v>75</v>
      </c>
      <c r="H27" s="12"/>
      <c r="I27" s="11" t="s">
        <v>341</v>
      </c>
      <c r="J27" s="11" t="s">
        <v>28</v>
      </c>
      <c r="K27" s="11" t="s">
        <v>82</v>
      </c>
      <c r="M27" s="8" t="str">
        <f t="shared" si="2"/>
        <v>,[new_bedsore_remarks] [nvarchar](500) NULL</v>
      </c>
    </row>
    <row r="28" spans="1:13" x14ac:dyDescent="0.25">
      <c r="A28" s="8" t="s">
        <v>29</v>
      </c>
      <c r="B28" s="8" t="s">
        <v>287</v>
      </c>
      <c r="C28" s="12" t="s">
        <v>344</v>
      </c>
      <c r="D28" s="8" t="s">
        <v>75</v>
      </c>
      <c r="E28" s="13" t="s">
        <v>347</v>
      </c>
      <c r="G28" s="8" t="s">
        <v>75</v>
      </c>
      <c r="I28" s="8" t="s">
        <v>287</v>
      </c>
      <c r="J28" s="8" t="s">
        <v>92</v>
      </c>
      <c r="K28" s="8" t="s">
        <v>82</v>
      </c>
      <c r="M28" s="8" t="str">
        <f t="shared" si="2"/>
        <v>,[look_heat_of_skin] [nvarchar](500) NULL</v>
      </c>
    </row>
    <row r="29" spans="1:13" s="11" customFormat="1" x14ac:dyDescent="0.25">
      <c r="A29" s="11" t="s">
        <v>30</v>
      </c>
      <c r="B29" s="11" t="s">
        <v>288</v>
      </c>
      <c r="C29" s="12" t="s">
        <v>344</v>
      </c>
      <c r="D29" s="8" t="s">
        <v>75</v>
      </c>
      <c r="E29" s="13" t="s">
        <v>347</v>
      </c>
      <c r="F29" s="12"/>
      <c r="G29" s="11" t="s">
        <v>75</v>
      </c>
      <c r="H29" s="12"/>
      <c r="I29" s="11" t="s">
        <v>288</v>
      </c>
      <c r="J29" s="11" t="s">
        <v>91</v>
      </c>
      <c r="K29" s="11" t="s">
        <v>82</v>
      </c>
      <c r="M29" s="8" t="str">
        <f t="shared" si="2"/>
        <v>,[other_wounds] [nvarchar](500) NULL</v>
      </c>
    </row>
    <row r="30" spans="1:13" x14ac:dyDescent="0.25">
      <c r="A30" s="8" t="s">
        <v>31</v>
      </c>
      <c r="B30" s="8" t="s">
        <v>286</v>
      </c>
      <c r="C30" s="12" t="s">
        <v>344</v>
      </c>
      <c r="D30" s="8" t="s">
        <v>75</v>
      </c>
      <c r="E30" s="13" t="s">
        <v>347</v>
      </c>
      <c r="G30" s="8" t="s">
        <v>75</v>
      </c>
      <c r="I30" s="8" t="s">
        <v>286</v>
      </c>
      <c r="J30" s="8" t="s">
        <v>91</v>
      </c>
      <c r="K30" s="8" t="s">
        <v>82</v>
      </c>
      <c r="M30" s="8" t="str">
        <f t="shared" si="2"/>
        <v>,[drainage_from_bedsore] [nvarchar](500) NULL</v>
      </c>
    </row>
    <row r="31" spans="1:13" x14ac:dyDescent="0.25">
      <c r="A31" s="8" t="s">
        <v>32</v>
      </c>
      <c r="B31" s="8" t="s">
        <v>285</v>
      </c>
      <c r="C31" s="12" t="s">
        <v>344</v>
      </c>
      <c r="D31" s="8" t="s">
        <v>75</v>
      </c>
      <c r="E31" s="13" t="s">
        <v>347</v>
      </c>
      <c r="G31" s="8" t="s">
        <v>75</v>
      </c>
      <c r="I31" s="8" t="s">
        <v>285</v>
      </c>
      <c r="J31" s="8" t="s">
        <v>91</v>
      </c>
      <c r="K31" s="8" t="s">
        <v>82</v>
      </c>
      <c r="M31" s="8" t="str">
        <f t="shared" si="2"/>
        <v>,[burn] [nvarchar](500) NULL</v>
      </c>
    </row>
    <row r="32" spans="1:13" x14ac:dyDescent="0.25">
      <c r="A32" s="8" t="s">
        <v>33</v>
      </c>
      <c r="B32" s="8" t="s">
        <v>289</v>
      </c>
      <c r="C32" s="12" t="s">
        <v>344</v>
      </c>
      <c r="D32" s="8" t="s">
        <v>75</v>
      </c>
      <c r="E32" s="13" t="s">
        <v>346</v>
      </c>
      <c r="G32" s="8" t="s">
        <v>75</v>
      </c>
      <c r="I32" s="8" t="s">
        <v>289</v>
      </c>
      <c r="J32" s="8" t="s">
        <v>95</v>
      </c>
      <c r="K32" s="8" t="s">
        <v>82</v>
      </c>
      <c r="M32" s="8" t="str">
        <f t="shared" si="2"/>
        <v>,[bedsore_num_1] [nvarchar](150) NULL</v>
      </c>
    </row>
    <row r="33" spans="1:13" x14ac:dyDescent="0.25">
      <c r="A33" s="8" t="s">
        <v>34</v>
      </c>
      <c r="B33" s="8" t="s">
        <v>290</v>
      </c>
      <c r="C33" s="12" t="s">
        <v>344</v>
      </c>
      <c r="D33" s="8" t="s">
        <v>75</v>
      </c>
      <c r="E33" s="13" t="s">
        <v>346</v>
      </c>
      <c r="G33" s="8" t="s">
        <v>75</v>
      </c>
      <c r="I33" s="8" t="s">
        <v>290</v>
      </c>
      <c r="J33" s="8" t="s">
        <v>96</v>
      </c>
      <c r="K33" s="8" t="s">
        <v>82</v>
      </c>
      <c r="M33" s="8" t="str">
        <f t="shared" si="2"/>
        <v>,[bedsore_num_1_location] [nvarchar](150) NULL</v>
      </c>
    </row>
    <row r="34" spans="1:13" x14ac:dyDescent="0.25">
      <c r="A34" s="8" t="s">
        <v>35</v>
      </c>
      <c r="B34" s="8" t="s">
        <v>292</v>
      </c>
      <c r="C34" s="12" t="s">
        <v>344</v>
      </c>
      <c r="D34" s="8" t="s">
        <v>75</v>
      </c>
      <c r="E34" s="13" t="s">
        <v>346</v>
      </c>
      <c r="G34" s="8" t="s">
        <v>75</v>
      </c>
      <c r="I34" s="8" t="s">
        <v>292</v>
      </c>
      <c r="J34" s="8" t="s">
        <v>97</v>
      </c>
      <c r="K34" s="8" t="s">
        <v>82</v>
      </c>
      <c r="M34" s="8" t="str">
        <f t="shared" si="2"/>
        <v>,[bedsore_num_1_side] [nvarchar](150) NULL</v>
      </c>
    </row>
    <row r="35" spans="1:13" x14ac:dyDescent="0.25">
      <c r="A35" s="8" t="s">
        <v>36</v>
      </c>
      <c r="B35" s="8" t="s">
        <v>291</v>
      </c>
      <c r="C35" s="12" t="s">
        <v>344</v>
      </c>
      <c r="D35" s="8" t="s">
        <v>75</v>
      </c>
      <c r="E35" s="13" t="s">
        <v>346</v>
      </c>
      <c r="G35" s="8" t="s">
        <v>75</v>
      </c>
      <c r="I35" s="8" t="s">
        <v>291</v>
      </c>
      <c r="J35" s="8" t="s">
        <v>98</v>
      </c>
      <c r="K35" s="8" t="s">
        <v>82</v>
      </c>
      <c r="M35" s="8" t="str">
        <f t="shared" si="2"/>
        <v>,[bedsore_num_1_degree] [nvarchar](150) NULL</v>
      </c>
    </row>
    <row r="36" spans="1:13" x14ac:dyDescent="0.25">
      <c r="A36" s="8" t="s">
        <v>37</v>
      </c>
      <c r="B36" s="8" t="s">
        <v>293</v>
      </c>
      <c r="C36" s="12" t="s">
        <v>344</v>
      </c>
      <c r="D36" s="8" t="s">
        <v>75</v>
      </c>
      <c r="E36" s="13" t="s">
        <v>346</v>
      </c>
      <c r="G36" s="8" t="s">
        <v>75</v>
      </c>
      <c r="I36" s="8" t="s">
        <v>293</v>
      </c>
      <c r="J36" s="8" t="s">
        <v>108</v>
      </c>
      <c r="K36" s="8" t="s">
        <v>82</v>
      </c>
      <c r="M36" s="8" t="str">
        <f t="shared" si="2"/>
        <v>,[bedsore_num_1_size_depth] [nvarchar](150) NULL</v>
      </c>
    </row>
    <row r="37" spans="1:13" x14ac:dyDescent="0.25">
      <c r="A37" s="8" t="s">
        <v>38</v>
      </c>
      <c r="B37" s="8" t="s">
        <v>294</v>
      </c>
      <c r="C37" s="12" t="s">
        <v>344</v>
      </c>
      <c r="D37" s="8" t="s">
        <v>75</v>
      </c>
      <c r="E37" s="13" t="s">
        <v>346</v>
      </c>
      <c r="G37" s="8" t="s">
        <v>75</v>
      </c>
      <c r="I37" s="8" t="s">
        <v>294</v>
      </c>
      <c r="J37" s="8" t="s">
        <v>109</v>
      </c>
      <c r="K37" s="8" t="s">
        <v>82</v>
      </c>
      <c r="M37" s="8" t="str">
        <f t="shared" si="2"/>
        <v>,[bedsore_num_1_size_area] [nvarchar](150) NULL</v>
      </c>
    </row>
    <row r="38" spans="1:13" x14ac:dyDescent="0.25">
      <c r="A38" s="8" t="s">
        <v>39</v>
      </c>
      <c r="B38" s="8" t="s">
        <v>300</v>
      </c>
      <c r="C38" s="12" t="s">
        <v>344</v>
      </c>
      <c r="D38" s="8" t="s">
        <v>75</v>
      </c>
      <c r="E38" s="13" t="s">
        <v>346</v>
      </c>
      <c r="G38" s="8" t="s">
        <v>75</v>
      </c>
      <c r="I38" s="8" t="s">
        <v>300</v>
      </c>
      <c r="J38" s="8" t="s">
        <v>114</v>
      </c>
      <c r="K38" s="8" t="s">
        <v>82</v>
      </c>
      <c r="M38" s="8" t="str">
        <f t="shared" si="2"/>
        <v>,[bedsore_num_1_tissue_properties] [nvarchar](150) NULL</v>
      </c>
    </row>
    <row r="39" spans="1:13" x14ac:dyDescent="0.25">
      <c r="A39" s="8" t="s">
        <v>40</v>
      </c>
      <c r="B39" s="8" t="s">
        <v>295</v>
      </c>
      <c r="C39" s="12" t="s">
        <v>344</v>
      </c>
      <c r="D39" s="8" t="s">
        <v>75</v>
      </c>
      <c r="E39" s="13" t="s">
        <v>346</v>
      </c>
      <c r="G39" s="8" t="s">
        <v>75</v>
      </c>
      <c r="I39" s="8" t="s">
        <v>295</v>
      </c>
      <c r="J39" s="8" t="s">
        <v>99</v>
      </c>
      <c r="K39" s="8" t="s">
        <v>82</v>
      </c>
      <c r="M39" s="8" t="str">
        <f t="shared" si="2"/>
        <v>,[bedsore_num_1_secrition] [nvarchar](150) NULL</v>
      </c>
    </row>
    <row r="40" spans="1:13" x14ac:dyDescent="0.25">
      <c r="A40" s="8" t="s">
        <v>41</v>
      </c>
      <c r="B40" s="8" t="s">
        <v>297</v>
      </c>
      <c r="C40" s="12" t="s">
        <v>344</v>
      </c>
      <c r="D40" s="8" t="s">
        <v>75</v>
      </c>
      <c r="E40" s="13" t="s">
        <v>346</v>
      </c>
      <c r="G40" s="8" t="s">
        <v>75</v>
      </c>
      <c r="I40" s="8" t="s">
        <v>297</v>
      </c>
      <c r="J40" s="8" t="s">
        <v>120</v>
      </c>
      <c r="K40" s="8" t="s">
        <v>82</v>
      </c>
      <c r="M40" s="8" t="str">
        <f t="shared" si="2"/>
        <v>,[bedsore_num_1_secrition_amount] [nvarchar](150) NULL</v>
      </c>
    </row>
    <row r="41" spans="1:13" x14ac:dyDescent="0.25">
      <c r="A41" s="8" t="s">
        <v>42</v>
      </c>
      <c r="B41" s="8" t="s">
        <v>299</v>
      </c>
      <c r="C41" s="12" t="s">
        <v>344</v>
      </c>
      <c r="D41" s="8" t="s">
        <v>75</v>
      </c>
      <c r="E41" s="13" t="s">
        <v>346</v>
      </c>
      <c r="G41" s="8" t="s">
        <v>75</v>
      </c>
      <c r="I41" s="8" t="s">
        <v>299</v>
      </c>
      <c r="J41" s="8" t="s">
        <v>115</v>
      </c>
      <c r="K41" s="8" t="s">
        <v>82</v>
      </c>
      <c r="M41" s="8" t="str">
        <f t="shared" si="2"/>
        <v>,[bedsore_num_1_drainage_means] [nvarchar](150) NULL</v>
      </c>
    </row>
    <row r="42" spans="1:13" x14ac:dyDescent="0.25">
      <c r="A42" s="11" t="s">
        <v>43</v>
      </c>
      <c r="B42" s="8" t="s">
        <v>301</v>
      </c>
      <c r="C42" s="12" t="s">
        <v>344</v>
      </c>
      <c r="D42" s="8" t="s">
        <v>75</v>
      </c>
      <c r="E42" s="13" t="s">
        <v>346</v>
      </c>
      <c r="G42" s="8" t="s">
        <v>75</v>
      </c>
      <c r="I42" s="8" t="s">
        <v>301</v>
      </c>
      <c r="J42" s="8" t="s">
        <v>94</v>
      </c>
      <c r="K42" s="8" t="s">
        <v>82</v>
      </c>
      <c r="M42" s="8" t="str">
        <f t="shared" si="2"/>
        <v>,[bedsore_num_2] [nvarchar](150) NULL</v>
      </c>
    </row>
    <row r="43" spans="1:13" x14ac:dyDescent="0.25">
      <c r="A43" s="8" t="s">
        <v>44</v>
      </c>
      <c r="B43" s="8" t="s">
        <v>302</v>
      </c>
      <c r="C43" s="12" t="s">
        <v>344</v>
      </c>
      <c r="D43" s="8" t="s">
        <v>75</v>
      </c>
      <c r="E43" s="13" t="s">
        <v>346</v>
      </c>
      <c r="G43" s="8" t="s">
        <v>75</v>
      </c>
      <c r="I43" s="8" t="s">
        <v>302</v>
      </c>
      <c r="J43" s="8" t="s">
        <v>100</v>
      </c>
      <c r="K43" s="8" t="s">
        <v>82</v>
      </c>
      <c r="M43" s="8" t="str">
        <f t="shared" si="2"/>
        <v>,[bedsore_num_2_location] [nvarchar](150) NULL</v>
      </c>
    </row>
    <row r="44" spans="1:13" x14ac:dyDescent="0.25">
      <c r="A44" s="8" t="s">
        <v>45</v>
      </c>
      <c r="B44" s="8" t="s">
        <v>303</v>
      </c>
      <c r="C44" s="12" t="s">
        <v>344</v>
      </c>
      <c r="D44" s="8" t="s">
        <v>75</v>
      </c>
      <c r="E44" s="13" t="s">
        <v>346</v>
      </c>
      <c r="G44" s="8" t="s">
        <v>75</v>
      </c>
      <c r="I44" s="8" t="s">
        <v>303</v>
      </c>
      <c r="J44" s="8" t="s">
        <v>101</v>
      </c>
      <c r="K44" s="8" t="s">
        <v>82</v>
      </c>
      <c r="M44" s="8" t="str">
        <f t="shared" si="2"/>
        <v>,[bedsore_num_2_side] [nvarchar](150) NULL</v>
      </c>
    </row>
    <row r="45" spans="1:13" x14ac:dyDescent="0.25">
      <c r="A45" s="8" t="s">
        <v>46</v>
      </c>
      <c r="B45" s="8" t="s">
        <v>304</v>
      </c>
      <c r="C45" s="12" t="s">
        <v>344</v>
      </c>
      <c r="D45" s="8" t="s">
        <v>75</v>
      </c>
      <c r="E45" s="13" t="s">
        <v>346</v>
      </c>
      <c r="G45" s="8" t="s">
        <v>75</v>
      </c>
      <c r="I45" s="8" t="s">
        <v>304</v>
      </c>
      <c r="J45" s="8" t="s">
        <v>102</v>
      </c>
      <c r="K45" s="8" t="s">
        <v>82</v>
      </c>
      <c r="M45" s="8" t="str">
        <f t="shared" si="2"/>
        <v>,[bedsore_num_2_degree] [nvarchar](150) NULL</v>
      </c>
    </row>
    <row r="46" spans="1:13" x14ac:dyDescent="0.25">
      <c r="A46" s="8" t="s">
        <v>47</v>
      </c>
      <c r="B46" s="8" t="s">
        <v>305</v>
      </c>
      <c r="C46" s="12" t="s">
        <v>344</v>
      </c>
      <c r="D46" s="8" t="s">
        <v>75</v>
      </c>
      <c r="E46" s="13" t="s">
        <v>346</v>
      </c>
      <c r="G46" s="8" t="s">
        <v>75</v>
      </c>
      <c r="I46" s="8" t="s">
        <v>305</v>
      </c>
      <c r="J46" s="8" t="s">
        <v>110</v>
      </c>
      <c r="K46" s="8" t="s">
        <v>82</v>
      </c>
      <c r="M46" s="8" t="str">
        <f t="shared" si="2"/>
        <v>,[bedsore_num_2_size_depth] [nvarchar](150) NULL</v>
      </c>
    </row>
    <row r="47" spans="1:13" x14ac:dyDescent="0.25">
      <c r="A47" s="8" t="s">
        <v>48</v>
      </c>
      <c r="B47" s="8" t="s">
        <v>306</v>
      </c>
      <c r="C47" s="12" t="s">
        <v>344</v>
      </c>
      <c r="D47" s="8" t="s">
        <v>75</v>
      </c>
      <c r="E47" s="13" t="s">
        <v>346</v>
      </c>
      <c r="G47" s="8" t="s">
        <v>75</v>
      </c>
      <c r="I47" s="8" t="s">
        <v>306</v>
      </c>
      <c r="J47" s="8" t="s">
        <v>111</v>
      </c>
      <c r="K47" s="8" t="s">
        <v>82</v>
      </c>
      <c r="M47" s="8" t="str">
        <f t="shared" si="2"/>
        <v>,[bedsore_num_2_size_area] [nvarchar](150) NULL</v>
      </c>
    </row>
    <row r="48" spans="1:13" x14ac:dyDescent="0.25">
      <c r="A48" s="8" t="s">
        <v>49</v>
      </c>
      <c r="B48" s="8" t="s">
        <v>307</v>
      </c>
      <c r="C48" s="12" t="s">
        <v>344</v>
      </c>
      <c r="D48" s="8" t="s">
        <v>75</v>
      </c>
      <c r="E48" s="13" t="s">
        <v>346</v>
      </c>
      <c r="G48" s="8" t="s">
        <v>75</v>
      </c>
      <c r="I48" s="8" t="s">
        <v>307</v>
      </c>
      <c r="J48" s="8" t="s">
        <v>116</v>
      </c>
      <c r="K48" s="8" t="s">
        <v>82</v>
      </c>
      <c r="M48" s="8" t="str">
        <f t="shared" si="2"/>
        <v>,[bedsore_num_2_tissue_properties] [nvarchar](150) NULL</v>
      </c>
    </row>
    <row r="49" spans="1:13" x14ac:dyDescent="0.25">
      <c r="A49" s="8" t="s">
        <v>50</v>
      </c>
      <c r="B49" s="8" t="s">
        <v>296</v>
      </c>
      <c r="C49" s="12" t="s">
        <v>344</v>
      </c>
      <c r="D49" s="8" t="s">
        <v>75</v>
      </c>
      <c r="E49" s="13" t="s">
        <v>346</v>
      </c>
      <c r="G49" s="8" t="s">
        <v>75</v>
      </c>
      <c r="I49" s="8" t="s">
        <v>296</v>
      </c>
      <c r="J49" s="8" t="s">
        <v>103</v>
      </c>
      <c r="K49" s="8" t="s">
        <v>82</v>
      </c>
      <c r="M49" s="8" t="str">
        <f t="shared" si="2"/>
        <v>,[bedsore_num_2_secrition] [nvarchar](150) NULL</v>
      </c>
    </row>
    <row r="50" spans="1:13" x14ac:dyDescent="0.25">
      <c r="A50" s="8" t="s">
        <v>51</v>
      </c>
      <c r="B50" s="8" t="s">
        <v>298</v>
      </c>
      <c r="C50" s="12" t="s">
        <v>344</v>
      </c>
      <c r="D50" s="8" t="s">
        <v>75</v>
      </c>
      <c r="E50" s="13" t="s">
        <v>346</v>
      </c>
      <c r="G50" s="8" t="s">
        <v>75</v>
      </c>
      <c r="I50" s="8" t="s">
        <v>298</v>
      </c>
      <c r="J50" s="8" t="s">
        <v>122</v>
      </c>
      <c r="K50" s="8" t="s">
        <v>82</v>
      </c>
      <c r="M50" s="8" t="str">
        <f t="shared" si="2"/>
        <v>,[bedsore_num_2_secrition_amount] [nvarchar](150) NULL</v>
      </c>
    </row>
    <row r="51" spans="1:13" x14ac:dyDescent="0.25">
      <c r="A51" s="8" t="s">
        <v>52</v>
      </c>
      <c r="B51" s="8" t="s">
        <v>308</v>
      </c>
      <c r="C51" s="12" t="s">
        <v>344</v>
      </c>
      <c r="D51" s="8" t="s">
        <v>75</v>
      </c>
      <c r="E51" s="13" t="s">
        <v>346</v>
      </c>
      <c r="G51" s="8" t="s">
        <v>75</v>
      </c>
      <c r="I51" s="8" t="s">
        <v>308</v>
      </c>
      <c r="J51" s="8" t="s">
        <v>117</v>
      </c>
      <c r="K51" s="8" t="s">
        <v>82</v>
      </c>
      <c r="M51" s="8" t="str">
        <f t="shared" si="2"/>
        <v>,[bedsore_num_2_drainage_means] [nvarchar](150) NULL</v>
      </c>
    </row>
    <row r="52" spans="1:13" x14ac:dyDescent="0.25">
      <c r="A52" s="8" t="s">
        <v>53</v>
      </c>
      <c r="B52" s="8" t="s">
        <v>309</v>
      </c>
      <c r="C52" s="12" t="s">
        <v>344</v>
      </c>
      <c r="D52" s="8" t="s">
        <v>75</v>
      </c>
      <c r="E52" s="13" t="s">
        <v>346</v>
      </c>
      <c r="G52" s="8" t="s">
        <v>75</v>
      </c>
      <c r="I52" s="8" t="s">
        <v>309</v>
      </c>
      <c r="J52" s="8" t="s">
        <v>94</v>
      </c>
      <c r="K52" s="8" t="s">
        <v>82</v>
      </c>
      <c r="M52" s="8" t="str">
        <f t="shared" si="2"/>
        <v>,[bedsore_num_3] [nvarchar](150) NULL</v>
      </c>
    </row>
    <row r="53" spans="1:13" x14ac:dyDescent="0.25">
      <c r="A53" s="8" t="s">
        <v>54</v>
      </c>
      <c r="B53" s="8" t="s">
        <v>310</v>
      </c>
      <c r="C53" s="12" t="s">
        <v>344</v>
      </c>
      <c r="D53" s="8" t="s">
        <v>75</v>
      </c>
      <c r="E53" s="13" t="s">
        <v>346</v>
      </c>
      <c r="G53" s="8" t="s">
        <v>75</v>
      </c>
      <c r="I53" s="8" t="s">
        <v>310</v>
      </c>
      <c r="J53" s="8" t="s">
        <v>104</v>
      </c>
      <c r="K53" s="8" t="s">
        <v>82</v>
      </c>
      <c r="M53" s="8" t="str">
        <f t="shared" si="2"/>
        <v>,[bedsore_num_3_location] [nvarchar](150) NULL</v>
      </c>
    </row>
    <row r="54" spans="1:13" x14ac:dyDescent="0.25">
      <c r="A54" s="8" t="s">
        <v>55</v>
      </c>
      <c r="B54" s="8" t="s">
        <v>311</v>
      </c>
      <c r="C54" s="12" t="s">
        <v>344</v>
      </c>
      <c r="D54" s="8" t="s">
        <v>75</v>
      </c>
      <c r="E54" s="13" t="s">
        <v>346</v>
      </c>
      <c r="G54" s="8" t="s">
        <v>75</v>
      </c>
      <c r="I54" s="8" t="s">
        <v>311</v>
      </c>
      <c r="J54" s="8" t="s">
        <v>105</v>
      </c>
      <c r="K54" s="8" t="s">
        <v>82</v>
      </c>
      <c r="M54" s="8" t="str">
        <f t="shared" si="2"/>
        <v>,[bedsore_num_3_side] [nvarchar](150) NULL</v>
      </c>
    </row>
    <row r="55" spans="1:13" x14ac:dyDescent="0.25">
      <c r="A55" s="8" t="s">
        <v>56</v>
      </c>
      <c r="B55" s="8" t="s">
        <v>312</v>
      </c>
      <c r="C55" s="12" t="s">
        <v>344</v>
      </c>
      <c r="D55" s="8" t="s">
        <v>75</v>
      </c>
      <c r="E55" s="13" t="s">
        <v>346</v>
      </c>
      <c r="G55" s="8" t="s">
        <v>75</v>
      </c>
      <c r="I55" s="8" t="s">
        <v>312</v>
      </c>
      <c r="J55" s="8" t="s">
        <v>106</v>
      </c>
      <c r="K55" s="8" t="s">
        <v>82</v>
      </c>
      <c r="M55" s="8" t="str">
        <f t="shared" si="2"/>
        <v>,[bedsore_num_3_degree] [nvarchar](150) NULL</v>
      </c>
    </row>
    <row r="56" spans="1:13" x14ac:dyDescent="0.25">
      <c r="A56" s="8" t="s">
        <v>57</v>
      </c>
      <c r="B56" s="8" t="s">
        <v>313</v>
      </c>
      <c r="C56" s="12" t="s">
        <v>344</v>
      </c>
      <c r="D56" s="8" t="s">
        <v>75</v>
      </c>
      <c r="E56" s="13" t="s">
        <v>346</v>
      </c>
      <c r="G56" s="8" t="s">
        <v>75</v>
      </c>
      <c r="I56" s="8" t="s">
        <v>313</v>
      </c>
      <c r="J56" s="8" t="s">
        <v>112</v>
      </c>
      <c r="K56" s="8" t="s">
        <v>82</v>
      </c>
      <c r="M56" s="8" t="str">
        <f t="shared" si="2"/>
        <v>,[bedsore_num_3_size_depth] [nvarchar](150) NULL</v>
      </c>
    </row>
    <row r="57" spans="1:13" x14ac:dyDescent="0.25">
      <c r="A57" s="8" t="s">
        <v>58</v>
      </c>
      <c r="B57" s="8" t="s">
        <v>314</v>
      </c>
      <c r="C57" s="12" t="s">
        <v>344</v>
      </c>
      <c r="D57" s="8" t="s">
        <v>75</v>
      </c>
      <c r="E57" s="13" t="s">
        <v>346</v>
      </c>
      <c r="G57" s="8" t="s">
        <v>75</v>
      </c>
      <c r="I57" s="8" t="s">
        <v>314</v>
      </c>
      <c r="J57" s="8" t="s">
        <v>113</v>
      </c>
      <c r="K57" s="8" t="s">
        <v>82</v>
      </c>
      <c r="M57" s="8" t="str">
        <f t="shared" si="2"/>
        <v>,[bedsore_num_3_size_area] [nvarchar](150) NULL</v>
      </c>
    </row>
    <row r="58" spans="1:13" x14ac:dyDescent="0.25">
      <c r="A58" s="8" t="s">
        <v>59</v>
      </c>
      <c r="B58" s="8" t="s">
        <v>315</v>
      </c>
      <c r="C58" s="12" t="s">
        <v>344</v>
      </c>
      <c r="D58" s="8" t="s">
        <v>75</v>
      </c>
      <c r="E58" s="13" t="s">
        <v>346</v>
      </c>
      <c r="G58" s="8" t="s">
        <v>75</v>
      </c>
      <c r="I58" s="8" t="s">
        <v>315</v>
      </c>
      <c r="J58" s="8" t="s">
        <v>118</v>
      </c>
      <c r="K58" s="8" t="s">
        <v>82</v>
      </c>
      <c r="M58" s="8" t="str">
        <f t="shared" si="2"/>
        <v>,[bedsore_num_3_tissue_properties] [nvarchar](150) NULL</v>
      </c>
    </row>
    <row r="59" spans="1:13" x14ac:dyDescent="0.25">
      <c r="A59" s="8" t="s">
        <v>60</v>
      </c>
      <c r="B59" s="8" t="s">
        <v>316</v>
      </c>
      <c r="C59" s="12" t="s">
        <v>344</v>
      </c>
      <c r="D59" s="8" t="s">
        <v>75</v>
      </c>
      <c r="E59" s="13" t="s">
        <v>346</v>
      </c>
      <c r="G59" s="8" t="s">
        <v>75</v>
      </c>
      <c r="I59" s="8" t="s">
        <v>316</v>
      </c>
      <c r="J59" s="8" t="s">
        <v>107</v>
      </c>
      <c r="K59" s="8" t="s">
        <v>82</v>
      </c>
      <c r="M59" s="8" t="str">
        <f t="shared" si="2"/>
        <v>,[bedsore_num_3_secrition] [nvarchar](150) NULL</v>
      </c>
    </row>
    <row r="60" spans="1:13" x14ac:dyDescent="0.25">
      <c r="A60" s="8" t="s">
        <v>61</v>
      </c>
      <c r="B60" s="8" t="s">
        <v>317</v>
      </c>
      <c r="C60" s="12" t="s">
        <v>344</v>
      </c>
      <c r="D60" s="8" t="s">
        <v>75</v>
      </c>
      <c r="E60" s="13" t="s">
        <v>346</v>
      </c>
      <c r="G60" s="8" t="s">
        <v>75</v>
      </c>
      <c r="I60" s="8" t="s">
        <v>317</v>
      </c>
      <c r="J60" s="8" t="s">
        <v>121</v>
      </c>
      <c r="K60" s="8" t="s">
        <v>82</v>
      </c>
      <c r="M60" s="8" t="str">
        <f t="shared" si="2"/>
        <v>,[bedsore_num_3_secrition_amount] [nvarchar](150) NULL</v>
      </c>
    </row>
    <row r="61" spans="1:13" x14ac:dyDescent="0.25">
      <c r="A61" s="8" t="s">
        <v>62</v>
      </c>
      <c r="B61" s="8" t="s">
        <v>318</v>
      </c>
      <c r="C61" s="12" t="s">
        <v>344</v>
      </c>
      <c r="D61" s="8" t="s">
        <v>75</v>
      </c>
      <c r="E61" s="13" t="s">
        <v>346</v>
      </c>
      <c r="G61" s="8" t="s">
        <v>75</v>
      </c>
      <c r="I61" s="8" t="s">
        <v>318</v>
      </c>
      <c r="J61" s="8" t="s">
        <v>119</v>
      </c>
      <c r="K61" s="8" t="s">
        <v>82</v>
      </c>
      <c r="M61" s="8" t="str">
        <f t="shared" si="2"/>
        <v>,[bedsore_num_3_drainage_means] [nvarchar](150) NULL</v>
      </c>
    </row>
    <row r="62" spans="1:13" x14ac:dyDescent="0.25">
      <c r="A62" s="8" t="s">
        <v>63</v>
      </c>
      <c r="B62" s="8" t="s">
        <v>320</v>
      </c>
      <c r="C62" s="12" t="s">
        <v>344</v>
      </c>
      <c r="D62" s="8" t="s">
        <v>75</v>
      </c>
      <c r="E62" s="13" t="s">
        <v>346</v>
      </c>
      <c r="G62" s="8" t="s">
        <v>75</v>
      </c>
      <c r="I62" s="8" t="s">
        <v>320</v>
      </c>
      <c r="J62" s="8" t="s">
        <v>94</v>
      </c>
      <c r="K62" s="8" t="s">
        <v>82</v>
      </c>
      <c r="M62" s="8" t="str">
        <f t="shared" si="2"/>
        <v>,[bedsore_num_4] [nvarchar](150) NULL</v>
      </c>
    </row>
    <row r="63" spans="1:13" x14ac:dyDescent="0.25">
      <c r="A63" s="8" t="s">
        <v>64</v>
      </c>
      <c r="B63" s="8" t="s">
        <v>321</v>
      </c>
      <c r="C63" s="12" t="s">
        <v>344</v>
      </c>
      <c r="D63" s="8" t="s">
        <v>75</v>
      </c>
      <c r="E63" s="13" t="s">
        <v>346</v>
      </c>
      <c r="G63" s="8" t="s">
        <v>75</v>
      </c>
      <c r="I63" s="8" t="s">
        <v>321</v>
      </c>
      <c r="J63" s="8" t="s">
        <v>123</v>
      </c>
      <c r="K63" s="8" t="s">
        <v>82</v>
      </c>
      <c r="M63" s="8" t="str">
        <f t="shared" si="2"/>
        <v>,[bedsore_num_4_location] [nvarchar](150) NULL</v>
      </c>
    </row>
    <row r="64" spans="1:13" x14ac:dyDescent="0.25">
      <c r="A64" s="8" t="s">
        <v>65</v>
      </c>
      <c r="B64" s="8" t="s">
        <v>319</v>
      </c>
      <c r="C64" s="12" t="s">
        <v>344</v>
      </c>
      <c r="D64" s="8" t="s">
        <v>75</v>
      </c>
      <c r="E64" s="13" t="s">
        <v>346</v>
      </c>
      <c r="G64" s="8" t="s">
        <v>75</v>
      </c>
      <c r="I64" s="8" t="s">
        <v>319</v>
      </c>
      <c r="J64" s="8" t="s">
        <v>124</v>
      </c>
      <c r="K64" s="8" t="s">
        <v>82</v>
      </c>
      <c r="M64" s="8" t="str">
        <f t="shared" si="2"/>
        <v>,[bedsore_num_4_side] [nvarchar](150) NULL</v>
      </c>
    </row>
    <row r="65" spans="1:13" x14ac:dyDescent="0.25">
      <c r="A65" s="8" t="s">
        <v>66</v>
      </c>
      <c r="B65" s="8" t="s">
        <v>322</v>
      </c>
      <c r="C65" s="12" t="s">
        <v>344</v>
      </c>
      <c r="D65" s="8" t="s">
        <v>75</v>
      </c>
      <c r="E65" s="13" t="s">
        <v>346</v>
      </c>
      <c r="G65" s="8" t="s">
        <v>75</v>
      </c>
      <c r="I65" s="8" t="s">
        <v>322</v>
      </c>
      <c r="J65" s="8" t="s">
        <v>125</v>
      </c>
      <c r="K65" s="8" t="s">
        <v>82</v>
      </c>
      <c r="M65" s="8" t="str">
        <f t="shared" si="2"/>
        <v>,[bedsore_num_4_degree] [nvarchar](150) NULL</v>
      </c>
    </row>
    <row r="66" spans="1:13" x14ac:dyDescent="0.25">
      <c r="A66" s="8" t="s">
        <v>67</v>
      </c>
      <c r="B66" s="8" t="s">
        <v>323</v>
      </c>
      <c r="C66" s="12" t="s">
        <v>344</v>
      </c>
      <c r="D66" s="8" t="s">
        <v>75</v>
      </c>
      <c r="E66" s="13" t="s">
        <v>346</v>
      </c>
      <c r="G66" s="8" t="s">
        <v>75</v>
      </c>
      <c r="I66" s="8" t="s">
        <v>323</v>
      </c>
      <c r="J66" s="8" t="s">
        <v>126</v>
      </c>
      <c r="K66" s="8" t="s">
        <v>82</v>
      </c>
      <c r="M66" s="8" t="str">
        <f t="shared" si="2"/>
        <v>,[bedsore_num_4_size_depth] [nvarchar](150) NULL</v>
      </c>
    </row>
    <row r="67" spans="1:13" x14ac:dyDescent="0.25">
      <c r="A67" s="8" t="s">
        <v>68</v>
      </c>
      <c r="B67" s="8" t="s">
        <v>324</v>
      </c>
      <c r="C67" s="12" t="s">
        <v>344</v>
      </c>
      <c r="D67" s="8" t="s">
        <v>75</v>
      </c>
      <c r="E67" s="13" t="s">
        <v>346</v>
      </c>
      <c r="G67" s="8" t="s">
        <v>75</v>
      </c>
      <c r="I67" s="8" t="s">
        <v>324</v>
      </c>
      <c r="J67" s="8" t="s">
        <v>127</v>
      </c>
      <c r="K67" s="8" t="s">
        <v>82</v>
      </c>
      <c r="M67" s="8" t="str">
        <f t="shared" si="2"/>
        <v>,[bedsore_num_4_size_area] [nvarchar](150) NULL</v>
      </c>
    </row>
    <row r="68" spans="1:13" x14ac:dyDescent="0.25">
      <c r="A68" s="8" t="s">
        <v>69</v>
      </c>
      <c r="B68" s="8" t="s">
        <v>325</v>
      </c>
      <c r="C68" s="12" t="s">
        <v>344</v>
      </c>
      <c r="D68" s="8" t="s">
        <v>75</v>
      </c>
      <c r="E68" s="13" t="s">
        <v>346</v>
      </c>
      <c r="G68" s="8" t="s">
        <v>75</v>
      </c>
      <c r="I68" s="8" t="s">
        <v>325</v>
      </c>
      <c r="J68" s="8" t="s">
        <v>128</v>
      </c>
      <c r="K68" s="8" t="s">
        <v>82</v>
      </c>
      <c r="M68" s="8" t="str">
        <f t="shared" si="2"/>
        <v>,[bedsore_num_4_tissue_properties] [nvarchar](150) NULL</v>
      </c>
    </row>
    <row r="69" spans="1:13" x14ac:dyDescent="0.25">
      <c r="A69" s="8" t="s">
        <v>70</v>
      </c>
      <c r="B69" s="8" t="s">
        <v>326</v>
      </c>
      <c r="C69" s="12" t="s">
        <v>344</v>
      </c>
      <c r="D69" s="8" t="s">
        <v>75</v>
      </c>
      <c r="E69" s="13" t="s">
        <v>346</v>
      </c>
      <c r="G69" s="8" t="s">
        <v>75</v>
      </c>
      <c r="I69" s="8" t="s">
        <v>326</v>
      </c>
      <c r="J69" s="8" t="s">
        <v>129</v>
      </c>
      <c r="K69" s="8" t="s">
        <v>82</v>
      </c>
      <c r="M69" s="8" t="str">
        <f t="shared" si="2"/>
        <v>,[bedsore_num_4_secrition] [nvarchar](150) NULL</v>
      </c>
    </row>
    <row r="70" spans="1:13" x14ac:dyDescent="0.25">
      <c r="A70" s="8" t="s">
        <v>71</v>
      </c>
      <c r="B70" s="8" t="s">
        <v>327</v>
      </c>
      <c r="C70" s="12" t="s">
        <v>344</v>
      </c>
      <c r="D70" s="8" t="s">
        <v>75</v>
      </c>
      <c r="E70" s="13" t="s">
        <v>346</v>
      </c>
      <c r="G70" s="8" t="s">
        <v>75</v>
      </c>
      <c r="I70" s="8" t="s">
        <v>327</v>
      </c>
      <c r="J70" s="8" t="s">
        <v>130</v>
      </c>
      <c r="K70" s="8" t="s">
        <v>82</v>
      </c>
      <c r="M70" s="8" t="str">
        <f t="shared" si="2"/>
        <v>,[bedsore_num_4_secrition_amount] [nvarchar](150) NULL</v>
      </c>
    </row>
    <row r="71" spans="1:13" x14ac:dyDescent="0.25">
      <c r="A71" s="8" t="s">
        <v>72</v>
      </c>
      <c r="B71" s="8" t="s">
        <v>328</v>
      </c>
      <c r="C71" s="12" t="s">
        <v>344</v>
      </c>
      <c r="D71" s="8" t="s">
        <v>75</v>
      </c>
      <c r="E71" s="13" t="s">
        <v>346</v>
      </c>
      <c r="G71" s="8" t="s">
        <v>75</v>
      </c>
      <c r="I71" s="8" t="s">
        <v>328</v>
      </c>
      <c r="J71" s="8" t="s">
        <v>131</v>
      </c>
      <c r="K71" s="8" t="s">
        <v>82</v>
      </c>
      <c r="M71" s="8" t="str">
        <f t="shared" si="2"/>
        <v>,[bedsore_num_4_drainage_means] [nvarchar](150) NULL</v>
      </c>
    </row>
    <row r="73" spans="1:13" ht="27.6" x14ac:dyDescent="0.25">
      <c r="M73" s="5" t="s">
        <v>348</v>
      </c>
    </row>
  </sheetData>
  <autoFilter ref="A1:M7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3"/>
  <sheetViews>
    <sheetView rightToLeft="1" zoomScale="60" zoomScaleNormal="6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" sqref="G1:G1048576"/>
    </sheetView>
  </sheetViews>
  <sheetFormatPr defaultColWidth="9" defaultRowHeight="13.8" x14ac:dyDescent="0.25"/>
  <cols>
    <col min="1" max="2" width="26.3984375" style="8" customWidth="1"/>
    <col min="3" max="3" width="13.5" style="8" customWidth="1"/>
    <col min="4" max="4" width="13.5" style="22" customWidth="1"/>
    <col min="5" max="5" width="23" style="5" customWidth="1"/>
    <col min="6" max="7" width="21.5" style="5" customWidth="1"/>
    <col min="8" max="8" width="52.5" style="8" customWidth="1"/>
    <col min="9" max="9" width="9" style="8"/>
    <col min="10" max="10" width="48" style="8" customWidth="1"/>
    <col min="11" max="11" width="9" style="8"/>
    <col min="12" max="12" width="34.296875" style="5" customWidth="1"/>
    <col min="13" max="16384" width="9" style="8"/>
  </cols>
  <sheetData>
    <row r="1" spans="1:12" ht="129" customHeight="1" x14ac:dyDescent="0.25">
      <c r="A1" s="6" t="s">
        <v>0</v>
      </c>
      <c r="B1" s="7" t="s">
        <v>268</v>
      </c>
      <c r="C1" s="20" t="s">
        <v>361</v>
      </c>
      <c r="D1" s="21" t="s">
        <v>343</v>
      </c>
      <c r="E1" s="7" t="s">
        <v>342</v>
      </c>
      <c r="F1" s="26" t="s">
        <v>281</v>
      </c>
      <c r="G1" s="26" t="s">
        <v>408</v>
      </c>
      <c r="H1" s="6" t="s">
        <v>76</v>
      </c>
      <c r="J1" s="5" t="s">
        <v>363</v>
      </c>
      <c r="L1" s="23" t="s">
        <v>359</v>
      </c>
    </row>
    <row r="2" spans="1:12" ht="41.4" x14ac:dyDescent="0.25">
      <c r="A2" s="8" t="s">
        <v>132</v>
      </c>
      <c r="B2" s="5" t="s">
        <v>344</v>
      </c>
      <c r="C2" s="8" t="s">
        <v>75</v>
      </c>
      <c r="D2" s="22" t="s">
        <v>345</v>
      </c>
      <c r="F2" s="5" t="s">
        <v>354</v>
      </c>
      <c r="G2" s="8" t="s">
        <v>132</v>
      </c>
      <c r="H2" s="8" t="s">
        <v>141</v>
      </c>
      <c r="J2" s="8" t="str">
        <f>+CONCATENATE("[",A2,"] [",B2,"]",D2, " NOT NULL")</f>
        <v>[patient_id] [nvarchar](50) NOT NULL</v>
      </c>
      <c r="L2" s="5" t="s">
        <v>384</v>
      </c>
    </row>
    <row r="3" spans="1:12" ht="27.6" x14ac:dyDescent="0.25">
      <c r="A3" s="8" t="s">
        <v>133</v>
      </c>
      <c r="B3" s="5" t="s">
        <v>344</v>
      </c>
      <c r="C3" s="8" t="s">
        <v>75</v>
      </c>
      <c r="D3" s="22" t="s">
        <v>345</v>
      </c>
      <c r="G3" s="8" t="s">
        <v>133</v>
      </c>
      <c r="H3" s="8" t="s">
        <v>15</v>
      </c>
      <c r="J3" s="8" t="str">
        <f>+CONCATENATE(",[",A3,"] [",B3,"]",D3, "  NOT NULL")</f>
        <v>,[encounter_id] [nvarchar](50)  NOT NULL</v>
      </c>
      <c r="L3" s="5" t="s">
        <v>369</v>
      </c>
    </row>
    <row r="4" spans="1:12" ht="27.6" x14ac:dyDescent="0.25">
      <c r="A4" s="11" t="s">
        <v>151</v>
      </c>
      <c r="B4" s="5" t="s">
        <v>344</v>
      </c>
      <c r="C4" s="8" t="s">
        <v>75</v>
      </c>
      <c r="D4" s="22" t="s">
        <v>375</v>
      </c>
      <c r="E4" s="5" t="s">
        <v>364</v>
      </c>
      <c r="G4" s="11" t="s">
        <v>415</v>
      </c>
      <c r="H4" s="8" t="s">
        <v>142</v>
      </c>
      <c r="J4" s="8" t="str">
        <f t="shared" ref="J4:J11" si="0">+CONCATENATE(",[",A4,"] [",B4,"]",D4, "  NULL")</f>
        <v>,[Provider_ID] [nvarchar](200)  NULL</v>
      </c>
      <c r="L4" s="4" t="s">
        <v>355</v>
      </c>
    </row>
    <row r="5" spans="1:12" ht="41.4" x14ac:dyDescent="0.25">
      <c r="A5" s="8" t="s">
        <v>134</v>
      </c>
      <c r="B5" s="12" t="s">
        <v>344</v>
      </c>
      <c r="C5" s="8" t="s">
        <v>75</v>
      </c>
      <c r="D5" s="22" t="s">
        <v>345</v>
      </c>
      <c r="G5" s="8" t="s">
        <v>134</v>
      </c>
      <c r="H5" s="8" t="s">
        <v>171</v>
      </c>
      <c r="J5" s="8" t="str">
        <f t="shared" si="0"/>
        <v>,[diagnosis_code_system] [nvarchar](50)  NULL</v>
      </c>
      <c r="L5" s="3" t="s">
        <v>356</v>
      </c>
    </row>
    <row r="6" spans="1:12" ht="27.6" x14ac:dyDescent="0.25">
      <c r="A6" s="8" t="s">
        <v>135</v>
      </c>
      <c r="B6" s="12" t="s">
        <v>344</v>
      </c>
      <c r="C6" s="8" t="s">
        <v>75</v>
      </c>
      <c r="D6" s="22" t="s">
        <v>345</v>
      </c>
      <c r="G6" s="8" t="s">
        <v>135</v>
      </c>
      <c r="H6" s="8" t="s">
        <v>143</v>
      </c>
      <c r="J6" s="8" t="str">
        <f t="shared" si="0"/>
        <v>,[diagnosis_code] [nvarchar](50)  NULL</v>
      </c>
      <c r="L6" s="3" t="s">
        <v>365</v>
      </c>
    </row>
    <row r="7" spans="1:12" ht="41.4" x14ac:dyDescent="0.25">
      <c r="A7" s="8" t="s">
        <v>136</v>
      </c>
      <c r="B7" s="12" t="s">
        <v>344</v>
      </c>
      <c r="C7" s="8" t="s">
        <v>75</v>
      </c>
      <c r="D7" s="22" t="s">
        <v>366</v>
      </c>
      <c r="G7" s="8" t="s">
        <v>136</v>
      </c>
      <c r="H7" s="8" t="s">
        <v>144</v>
      </c>
      <c r="J7" s="8" t="str">
        <f t="shared" si="0"/>
        <v>,[diagnosis_description] [nvarchar](4000)  NULL</v>
      </c>
      <c r="L7" s="3" t="s">
        <v>357</v>
      </c>
    </row>
    <row r="8" spans="1:12" ht="27.6" x14ac:dyDescent="0.25">
      <c r="A8" s="8" t="s">
        <v>137</v>
      </c>
      <c r="B8" s="12" t="s">
        <v>344</v>
      </c>
      <c r="C8" s="8" t="s">
        <v>75</v>
      </c>
      <c r="D8" s="22" t="s">
        <v>378</v>
      </c>
      <c r="E8" s="5" t="s">
        <v>368</v>
      </c>
      <c r="F8" s="5" t="s">
        <v>352</v>
      </c>
      <c r="G8" s="8" t="s">
        <v>137</v>
      </c>
      <c r="H8" s="8" t="s">
        <v>145</v>
      </c>
      <c r="J8" s="8" t="str">
        <f t="shared" si="0"/>
        <v>,[diagnosis_date] [nvarchar](20)  NULL</v>
      </c>
      <c r="L8" s="4" t="s">
        <v>358</v>
      </c>
    </row>
    <row r="9" spans="1:12" x14ac:dyDescent="0.25">
      <c r="A9" s="8" t="s">
        <v>138</v>
      </c>
      <c r="B9" s="8" t="s">
        <v>75</v>
      </c>
      <c r="C9" s="8" t="s">
        <v>75</v>
      </c>
      <c r="D9" s="22" t="s">
        <v>367</v>
      </c>
      <c r="G9" s="8" t="s">
        <v>138</v>
      </c>
      <c r="H9" s="8" t="s">
        <v>146</v>
      </c>
      <c r="J9" s="8" t="str">
        <f t="shared" si="0"/>
        <v>,[principal_diagnosis_ind] [char](1)  NULL</v>
      </c>
    </row>
    <row r="10" spans="1:12" x14ac:dyDescent="0.25">
      <c r="A10" s="8" t="s">
        <v>139</v>
      </c>
      <c r="B10" s="8" t="s">
        <v>75</v>
      </c>
      <c r="C10" s="8" t="s">
        <v>75</v>
      </c>
      <c r="D10" s="22" t="s">
        <v>367</v>
      </c>
      <c r="G10" s="8" t="s">
        <v>139</v>
      </c>
      <c r="H10" s="8" t="s">
        <v>147</v>
      </c>
      <c r="J10" s="8" t="str">
        <f t="shared" si="0"/>
        <v>,[diagnosis_source] [char](1)  NULL</v>
      </c>
    </row>
    <row r="11" spans="1:12" x14ac:dyDescent="0.25">
      <c r="A11" s="8" t="s">
        <v>140</v>
      </c>
      <c r="B11" s="12" t="s">
        <v>344</v>
      </c>
      <c r="C11" s="8" t="s">
        <v>75</v>
      </c>
      <c r="D11" s="22" t="s">
        <v>345</v>
      </c>
      <c r="G11" s="8" t="s">
        <v>140</v>
      </c>
      <c r="H11" s="8" t="s">
        <v>148</v>
      </c>
      <c r="J11" s="8" t="str">
        <f t="shared" si="0"/>
        <v>,[sourcesystem] [nvarchar](50)  NULL</v>
      </c>
    </row>
    <row r="13" spans="1:12" ht="27.6" x14ac:dyDescent="0.25">
      <c r="J13" s="5" t="s">
        <v>348</v>
      </c>
    </row>
  </sheetData>
  <pageMargins left="0.7" right="0.7" top="0.75" bottom="0.75" header="0.3" footer="0.3"/>
  <pageSetup orientation="portrait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1"/>
  <sheetViews>
    <sheetView rightToLeft="1" zoomScale="50" zoomScaleNormal="50" workbookViewId="0">
      <pane ySplit="1" topLeftCell="A8" activePane="bottomLeft" state="frozen"/>
      <selection pane="bottomLeft" activeCell="G1" sqref="G1:G1048576"/>
    </sheetView>
  </sheetViews>
  <sheetFormatPr defaultColWidth="9" defaultRowHeight="13.8" x14ac:dyDescent="0.25"/>
  <cols>
    <col min="1" max="1" width="24" style="8" bestFit="1" customWidth="1"/>
    <col min="2" max="2" width="19.8984375" style="5" customWidth="1"/>
    <col min="3" max="3" width="19.19921875" style="8" customWidth="1"/>
    <col min="4" max="4" width="19.19921875" style="22" customWidth="1"/>
    <col min="5" max="6" width="19.19921875" style="5" customWidth="1"/>
    <col min="7" max="7" width="21.5" style="5" customWidth="1"/>
    <col min="8" max="8" width="88.19921875" style="8" bestFit="1" customWidth="1"/>
    <col min="9" max="9" width="9" style="8"/>
    <col min="10" max="10" width="49.8984375" style="8" bestFit="1" customWidth="1"/>
    <col min="11" max="11" width="9" style="8"/>
    <col min="12" max="12" width="24" style="8" bestFit="1" customWidth="1"/>
    <col min="13" max="16384" width="9" style="8"/>
  </cols>
  <sheetData>
    <row r="1" spans="1:12" ht="142.80000000000001" customHeight="1" x14ac:dyDescent="0.25">
      <c r="A1" s="6" t="s">
        <v>0</v>
      </c>
      <c r="B1" s="7" t="s">
        <v>268</v>
      </c>
      <c r="C1" s="20" t="s">
        <v>1</v>
      </c>
      <c r="D1" s="21" t="s">
        <v>343</v>
      </c>
      <c r="E1" s="7" t="s">
        <v>342</v>
      </c>
      <c r="F1" s="26" t="s">
        <v>281</v>
      </c>
      <c r="G1" s="26" t="s">
        <v>408</v>
      </c>
      <c r="H1" s="6" t="s">
        <v>76</v>
      </c>
      <c r="J1" s="5" t="s">
        <v>371</v>
      </c>
      <c r="L1" s="9" t="s">
        <v>359</v>
      </c>
    </row>
    <row r="2" spans="1:12" ht="82.8" x14ac:dyDescent="0.25">
      <c r="A2" s="8" t="s">
        <v>149</v>
      </c>
      <c r="B2" s="5" t="s">
        <v>344</v>
      </c>
      <c r="C2" s="8" t="s">
        <v>75</v>
      </c>
      <c r="D2" s="22" t="s">
        <v>345</v>
      </c>
      <c r="F2" s="5" t="s">
        <v>354</v>
      </c>
      <c r="G2" s="8" t="s">
        <v>149</v>
      </c>
      <c r="H2" s="8" t="s">
        <v>141</v>
      </c>
      <c r="J2" s="8" t="str">
        <f>+CONCATENATE("[",A2,"] [",B2,"]",D2, " NOT NULL")</f>
        <v>[Patient_ID] [nvarchar](50) NOT NULL</v>
      </c>
      <c r="L2" s="5" t="s">
        <v>383</v>
      </c>
    </row>
    <row r="3" spans="1:12" ht="53.4" customHeight="1" x14ac:dyDescent="0.25">
      <c r="A3" s="8" t="s">
        <v>150</v>
      </c>
      <c r="B3" s="5" t="s">
        <v>344</v>
      </c>
      <c r="C3" s="8" t="s">
        <v>75</v>
      </c>
      <c r="D3" s="22" t="s">
        <v>345</v>
      </c>
      <c r="G3" s="8" t="s">
        <v>150</v>
      </c>
      <c r="H3" s="8" t="s">
        <v>15</v>
      </c>
      <c r="J3" s="8" t="str">
        <f>+CONCATENATE(",[",A3,"] [",B3,"]",D3, " NOT NULL")</f>
        <v>,[Encounter_ID] [nvarchar](50) NOT NULL</v>
      </c>
      <c r="L3" s="5" t="s">
        <v>394</v>
      </c>
    </row>
    <row r="4" spans="1:12" ht="41.4" x14ac:dyDescent="0.25">
      <c r="A4" s="11" t="s">
        <v>151</v>
      </c>
      <c r="B4" s="5" t="s">
        <v>344</v>
      </c>
      <c r="C4" s="8" t="s">
        <v>75</v>
      </c>
      <c r="D4" s="22" t="s">
        <v>378</v>
      </c>
      <c r="E4" s="5" t="s">
        <v>364</v>
      </c>
      <c r="G4" s="11" t="s">
        <v>418</v>
      </c>
      <c r="H4" s="8" t="s">
        <v>142</v>
      </c>
      <c r="J4" s="8" t="str">
        <f>+CONCATENATE(",[",A4,"] [",B4,"]",D4, "  NULL")</f>
        <v>,[Provider_ID] [nvarchar](20)  NULL</v>
      </c>
      <c r="L4" s="4" t="s">
        <v>355</v>
      </c>
    </row>
    <row r="5" spans="1:12" ht="55.2" x14ac:dyDescent="0.25">
      <c r="A5" s="8" t="s">
        <v>152</v>
      </c>
      <c r="B5" s="5" t="s">
        <v>333</v>
      </c>
      <c r="C5" s="8" t="s">
        <v>73</v>
      </c>
      <c r="G5" s="8" t="s">
        <v>152</v>
      </c>
      <c r="H5" s="8" t="s">
        <v>169</v>
      </c>
      <c r="J5" s="8" t="str">
        <f t="shared" ref="J5:J21" si="0">+CONCATENATE(",[",A5,"] [",B5,"]",D5, "  NULL")</f>
        <v>,[Lab_Code_Original] [int]  NULL</v>
      </c>
      <c r="L5" s="3" t="s">
        <v>356</v>
      </c>
    </row>
    <row r="6" spans="1:12" ht="41.4" x14ac:dyDescent="0.25">
      <c r="A6" s="8" t="s">
        <v>153</v>
      </c>
      <c r="B6" s="12" t="s">
        <v>344</v>
      </c>
      <c r="C6" s="8" t="s">
        <v>75</v>
      </c>
      <c r="D6" s="22" t="s">
        <v>375</v>
      </c>
      <c r="G6" s="8" t="s">
        <v>153</v>
      </c>
      <c r="H6" s="8" t="s">
        <v>170</v>
      </c>
      <c r="J6" s="8" t="str">
        <f t="shared" si="0"/>
        <v>,[Lab_Name_Original] [nvarchar](200)  NULL</v>
      </c>
      <c r="L6" s="3" t="s">
        <v>365</v>
      </c>
    </row>
    <row r="7" spans="1:12" ht="41.4" x14ac:dyDescent="0.25">
      <c r="A7" s="8" t="s">
        <v>154</v>
      </c>
      <c r="B7" s="12" t="s">
        <v>344</v>
      </c>
      <c r="C7" s="8" t="s">
        <v>75</v>
      </c>
      <c r="D7" s="22" t="s">
        <v>376</v>
      </c>
      <c r="G7" s="8" t="s">
        <v>154</v>
      </c>
      <c r="H7" s="8" t="s">
        <v>172</v>
      </c>
      <c r="J7" s="8" t="str">
        <f t="shared" si="0"/>
        <v>,[lab_obs_code_system] [nvarchar](100)  NULL</v>
      </c>
      <c r="L7" s="3" t="s">
        <v>357</v>
      </c>
    </row>
    <row r="8" spans="1:12" ht="27.6" x14ac:dyDescent="0.25">
      <c r="A8" s="8" t="s">
        <v>155</v>
      </c>
      <c r="B8" s="12" t="s">
        <v>344</v>
      </c>
      <c r="C8" s="8" t="s">
        <v>75</v>
      </c>
      <c r="D8" s="22" t="s">
        <v>376</v>
      </c>
      <c r="G8" s="8" t="s">
        <v>155</v>
      </c>
      <c r="H8" s="8" t="s">
        <v>173</v>
      </c>
      <c r="J8" s="8" t="str">
        <f t="shared" si="0"/>
        <v>,[lab_obs_code] [nvarchar](100)  NULL</v>
      </c>
      <c r="L8" s="4" t="s">
        <v>358</v>
      </c>
    </row>
    <row r="9" spans="1:12" x14ac:dyDescent="0.25">
      <c r="A9" s="8" t="s">
        <v>156</v>
      </c>
      <c r="B9" s="12" t="s">
        <v>344</v>
      </c>
      <c r="C9" s="8" t="s">
        <v>75</v>
      </c>
      <c r="D9" s="22" t="s">
        <v>376</v>
      </c>
      <c r="G9" s="8" t="s">
        <v>156</v>
      </c>
      <c r="H9" s="8" t="s">
        <v>174</v>
      </c>
      <c r="J9" s="8" t="str">
        <f t="shared" si="0"/>
        <v>,[lab_obs_description] [nvarchar](100)  NULL</v>
      </c>
      <c r="L9" s="5"/>
    </row>
    <row r="10" spans="1:12" x14ac:dyDescent="0.25">
      <c r="A10" s="8" t="s">
        <v>157</v>
      </c>
      <c r="B10" s="12" t="s">
        <v>344</v>
      </c>
      <c r="C10" s="8" t="s">
        <v>75</v>
      </c>
      <c r="D10" s="22" t="s">
        <v>376</v>
      </c>
      <c r="G10" s="8" t="s">
        <v>157</v>
      </c>
      <c r="H10" s="8" t="s">
        <v>175</v>
      </c>
      <c r="J10" s="8" t="str">
        <f t="shared" si="0"/>
        <v>,[Battery_Code_System] [nvarchar](100)  NULL</v>
      </c>
    </row>
    <row r="11" spans="1:12" x14ac:dyDescent="0.25">
      <c r="A11" s="8" t="s">
        <v>158</v>
      </c>
      <c r="B11" s="5" t="s">
        <v>333</v>
      </c>
      <c r="C11" s="8" t="s">
        <v>75</v>
      </c>
      <c r="G11" s="8" t="s">
        <v>158</v>
      </c>
      <c r="H11" s="8" t="s">
        <v>176</v>
      </c>
      <c r="J11" s="8" t="str">
        <f t="shared" si="0"/>
        <v>,[Battery_Code] [int]  NULL</v>
      </c>
    </row>
    <row r="12" spans="1:12" x14ac:dyDescent="0.25">
      <c r="A12" s="8" t="s">
        <v>159</v>
      </c>
      <c r="B12" s="12" t="s">
        <v>344</v>
      </c>
      <c r="C12" s="8" t="s">
        <v>75</v>
      </c>
      <c r="D12" s="22" t="s">
        <v>375</v>
      </c>
      <c r="G12" s="8" t="s">
        <v>159</v>
      </c>
      <c r="H12" s="8" t="s">
        <v>177</v>
      </c>
      <c r="J12" s="8" t="str">
        <f t="shared" si="0"/>
        <v>,[Battery_Description] [nvarchar](200)  NULL</v>
      </c>
    </row>
    <row r="13" spans="1:12" x14ac:dyDescent="0.25">
      <c r="A13" s="8" t="s">
        <v>160</v>
      </c>
      <c r="B13" s="12" t="s">
        <v>333</v>
      </c>
      <c r="C13" s="8" t="s">
        <v>73</v>
      </c>
      <c r="G13" s="8" t="s">
        <v>160</v>
      </c>
      <c r="H13" s="8" t="s">
        <v>178</v>
      </c>
      <c r="J13" s="8" t="str">
        <f t="shared" si="0"/>
        <v>,[Lab_Section_Code_Original] [int]  NULL</v>
      </c>
    </row>
    <row r="14" spans="1:12" x14ac:dyDescent="0.25">
      <c r="A14" s="8" t="s">
        <v>161</v>
      </c>
      <c r="B14" s="12" t="s">
        <v>344</v>
      </c>
      <c r="C14" s="8" t="s">
        <v>75</v>
      </c>
      <c r="D14" s="22" t="s">
        <v>375</v>
      </c>
      <c r="G14" s="8" t="s">
        <v>161</v>
      </c>
      <c r="H14" s="8" t="s">
        <v>179</v>
      </c>
      <c r="J14" s="8" t="str">
        <f t="shared" si="0"/>
        <v>,[Lab_Section] [nvarchar](200)  NULL</v>
      </c>
    </row>
    <row r="15" spans="1:12" x14ac:dyDescent="0.25">
      <c r="A15" s="8" t="s">
        <v>162</v>
      </c>
      <c r="B15" s="12" t="s">
        <v>344</v>
      </c>
      <c r="C15" s="8" t="s">
        <v>75</v>
      </c>
      <c r="D15" s="22" t="s">
        <v>374</v>
      </c>
      <c r="E15" s="5" t="s">
        <v>372</v>
      </c>
      <c r="G15" s="8" t="s">
        <v>162</v>
      </c>
      <c r="H15" s="8" t="s">
        <v>180</v>
      </c>
      <c r="J15" s="8" t="str">
        <f t="shared" si="0"/>
        <v>,[Normal_Range] [nvarchar](300)  NULL</v>
      </c>
    </row>
    <row r="16" spans="1:12" ht="59.4" customHeight="1" x14ac:dyDescent="0.25">
      <c r="A16" s="8" t="s">
        <v>163</v>
      </c>
      <c r="B16" s="12" t="s">
        <v>344</v>
      </c>
      <c r="C16" s="8" t="s">
        <v>75</v>
      </c>
      <c r="D16" s="22" t="s">
        <v>378</v>
      </c>
      <c r="E16" s="25" t="str">
        <f>+L3</f>
        <v>השדה Test_date יגיע בפורמט YYYYMMDD. יש להמיר את תוכנו לתאריך</v>
      </c>
      <c r="F16" s="5" t="s">
        <v>373</v>
      </c>
      <c r="G16" s="8" t="s">
        <v>163</v>
      </c>
      <c r="H16" s="8" t="s">
        <v>181</v>
      </c>
      <c r="J16" s="8" t="str">
        <f t="shared" si="0"/>
        <v>,[Test_Date] [nvarchar](20)  NULL</v>
      </c>
    </row>
    <row r="17" spans="1:10" ht="21" customHeight="1" x14ac:dyDescent="0.25">
      <c r="A17" s="8" t="s">
        <v>164</v>
      </c>
      <c r="B17" s="12" t="s">
        <v>344</v>
      </c>
      <c r="C17" s="8" t="s">
        <v>75</v>
      </c>
      <c r="D17" s="22" t="s">
        <v>377</v>
      </c>
      <c r="E17" s="5" t="s">
        <v>372</v>
      </c>
      <c r="G17" s="8" t="s">
        <v>164</v>
      </c>
      <c r="H17" s="8" t="s">
        <v>182</v>
      </c>
      <c r="J17" s="8" t="str">
        <f t="shared" si="0"/>
        <v>,[Result_Type] [nvarchar](5)  NULL</v>
      </c>
    </row>
    <row r="18" spans="1:10" x14ac:dyDescent="0.25">
      <c r="A18" s="8" t="s">
        <v>165</v>
      </c>
      <c r="B18" s="12" t="s">
        <v>344</v>
      </c>
      <c r="C18" s="8" t="s">
        <v>75</v>
      </c>
      <c r="D18" s="22" t="s">
        <v>378</v>
      </c>
      <c r="E18" s="5" t="s">
        <v>372</v>
      </c>
      <c r="G18" s="8" t="s">
        <v>165</v>
      </c>
      <c r="H18" s="8" t="s">
        <v>183</v>
      </c>
      <c r="J18" s="8" t="str">
        <f t="shared" si="0"/>
        <v>,[Lab_Result_Numeric_Value] [nvarchar](20)  NULL</v>
      </c>
    </row>
    <row r="19" spans="1:10" x14ac:dyDescent="0.25">
      <c r="A19" s="8" t="s">
        <v>166</v>
      </c>
      <c r="B19" s="12" t="s">
        <v>344</v>
      </c>
      <c r="C19" s="8" t="s">
        <v>75</v>
      </c>
      <c r="D19" s="22" t="s">
        <v>376</v>
      </c>
      <c r="E19" s="5" t="s">
        <v>372</v>
      </c>
      <c r="G19" s="8" t="s">
        <v>166</v>
      </c>
      <c r="H19" s="8" t="s">
        <v>184</v>
      </c>
      <c r="J19" s="8" t="str">
        <f t="shared" si="0"/>
        <v>,[Lab_Result_Text_Value] [nvarchar](100)  NULL</v>
      </c>
    </row>
    <row r="20" spans="1:10" x14ac:dyDescent="0.25">
      <c r="A20" s="8" t="s">
        <v>167</v>
      </c>
      <c r="B20" s="12" t="s">
        <v>344</v>
      </c>
      <c r="C20" s="8" t="s">
        <v>75</v>
      </c>
      <c r="D20" s="22" t="s">
        <v>376</v>
      </c>
      <c r="E20" s="5" t="s">
        <v>372</v>
      </c>
      <c r="G20" s="8" t="s">
        <v>167</v>
      </c>
      <c r="H20" s="8" t="s">
        <v>185</v>
      </c>
      <c r="J20" s="8" t="str">
        <f t="shared" si="0"/>
        <v>,[Units_of_Measure] [nvarchar](100)  NULL</v>
      </c>
    </row>
    <row r="21" spans="1:10" x14ac:dyDescent="0.25">
      <c r="A21" s="8" t="s">
        <v>168</v>
      </c>
      <c r="B21" s="12" t="s">
        <v>344</v>
      </c>
      <c r="C21" s="8" t="s">
        <v>75</v>
      </c>
      <c r="D21" s="22" t="s">
        <v>378</v>
      </c>
      <c r="G21" s="8" t="s">
        <v>168</v>
      </c>
      <c r="H21" s="8" t="s">
        <v>186</v>
      </c>
      <c r="J21" s="8" t="str">
        <f t="shared" si="0"/>
        <v>,[Action] [nvarchar](20)  NULL</v>
      </c>
    </row>
    <row r="22" spans="1:10" x14ac:dyDescent="0.25">
      <c r="B22" s="12"/>
    </row>
    <row r="23" spans="1:10" ht="27.6" x14ac:dyDescent="0.25">
      <c r="B23" s="12"/>
      <c r="J23" s="5" t="s">
        <v>348</v>
      </c>
    </row>
    <row r="24" spans="1:10" x14ac:dyDescent="0.25">
      <c r="B24" s="11"/>
    </row>
    <row r="25" spans="1:10" x14ac:dyDescent="0.25">
      <c r="B25" s="12"/>
    </row>
    <row r="26" spans="1:10" x14ac:dyDescent="0.25">
      <c r="B26" s="12"/>
    </row>
    <row r="27" spans="1:10" x14ac:dyDescent="0.25">
      <c r="B27" s="12"/>
    </row>
    <row r="28" spans="1:10" x14ac:dyDescent="0.25">
      <c r="B28" s="12"/>
    </row>
    <row r="29" spans="1:10" x14ac:dyDescent="0.25">
      <c r="B29" s="12"/>
    </row>
    <row r="30" spans="1:10" x14ac:dyDescent="0.25">
      <c r="B30" s="12"/>
    </row>
    <row r="31" spans="1:10" x14ac:dyDescent="0.25">
      <c r="B31" s="12"/>
    </row>
    <row r="32" spans="1:10" x14ac:dyDescent="0.25">
      <c r="B32" s="12"/>
    </row>
    <row r="33" spans="2:2" x14ac:dyDescent="0.25">
      <c r="B33" s="12"/>
    </row>
    <row r="34" spans="2:2" x14ac:dyDescent="0.25">
      <c r="B34" s="12"/>
    </row>
    <row r="35" spans="2:2" x14ac:dyDescent="0.25">
      <c r="B35" s="12"/>
    </row>
    <row r="36" spans="2:2" x14ac:dyDescent="0.25">
      <c r="B36" s="12"/>
    </row>
    <row r="37" spans="2:2" x14ac:dyDescent="0.25">
      <c r="B37" s="12"/>
    </row>
    <row r="38" spans="2:2" x14ac:dyDescent="0.25">
      <c r="B38" s="12"/>
    </row>
    <row r="39" spans="2:2" x14ac:dyDescent="0.25">
      <c r="B39" s="12"/>
    </row>
    <row r="40" spans="2:2" x14ac:dyDescent="0.25">
      <c r="B40" s="12"/>
    </row>
    <row r="41" spans="2:2" x14ac:dyDescent="0.25">
      <c r="B41" s="12"/>
    </row>
    <row r="42" spans="2:2" x14ac:dyDescent="0.25">
      <c r="B42" s="12"/>
    </row>
    <row r="43" spans="2:2" x14ac:dyDescent="0.25">
      <c r="B43" s="12"/>
    </row>
    <row r="44" spans="2:2" x14ac:dyDescent="0.25">
      <c r="B44" s="12"/>
    </row>
    <row r="45" spans="2:2" x14ac:dyDescent="0.25">
      <c r="B45" s="12"/>
    </row>
    <row r="46" spans="2:2" x14ac:dyDescent="0.25">
      <c r="B46" s="12"/>
    </row>
    <row r="47" spans="2:2" x14ac:dyDescent="0.25">
      <c r="B47" s="12"/>
    </row>
    <row r="48" spans="2:2" x14ac:dyDescent="0.25">
      <c r="B48" s="12"/>
    </row>
    <row r="49" spans="2:2" x14ac:dyDescent="0.25">
      <c r="B49" s="12"/>
    </row>
    <row r="50" spans="2:2" x14ac:dyDescent="0.25">
      <c r="B50" s="12"/>
    </row>
    <row r="51" spans="2:2" x14ac:dyDescent="0.25">
      <c r="B51" s="12"/>
    </row>
    <row r="52" spans="2:2" x14ac:dyDescent="0.25">
      <c r="B52" s="12"/>
    </row>
    <row r="53" spans="2:2" x14ac:dyDescent="0.25">
      <c r="B53" s="12"/>
    </row>
    <row r="54" spans="2:2" x14ac:dyDescent="0.25">
      <c r="B54" s="12"/>
    </row>
    <row r="55" spans="2:2" x14ac:dyDescent="0.25">
      <c r="B55" s="12"/>
    </row>
    <row r="56" spans="2:2" x14ac:dyDescent="0.25">
      <c r="B56" s="12"/>
    </row>
    <row r="57" spans="2:2" x14ac:dyDescent="0.25">
      <c r="B57" s="12"/>
    </row>
    <row r="58" spans="2:2" x14ac:dyDescent="0.25">
      <c r="B58" s="12"/>
    </row>
    <row r="59" spans="2:2" x14ac:dyDescent="0.25">
      <c r="B59" s="12"/>
    </row>
    <row r="60" spans="2:2" x14ac:dyDescent="0.25">
      <c r="B60" s="12"/>
    </row>
    <row r="61" spans="2:2" x14ac:dyDescent="0.25">
      <c r="B61" s="12"/>
    </row>
    <row r="62" spans="2:2" x14ac:dyDescent="0.25">
      <c r="B62" s="12"/>
    </row>
    <row r="63" spans="2:2" x14ac:dyDescent="0.25">
      <c r="B63" s="12"/>
    </row>
    <row r="64" spans="2:2" x14ac:dyDescent="0.25">
      <c r="B64" s="12"/>
    </row>
    <row r="65" spans="2:2" x14ac:dyDescent="0.25">
      <c r="B65" s="12"/>
    </row>
    <row r="66" spans="2:2" x14ac:dyDescent="0.25">
      <c r="B66" s="12"/>
    </row>
    <row r="67" spans="2:2" x14ac:dyDescent="0.25">
      <c r="B67" s="12"/>
    </row>
    <row r="68" spans="2:2" x14ac:dyDescent="0.25">
      <c r="B68" s="12"/>
    </row>
    <row r="69" spans="2:2" x14ac:dyDescent="0.25">
      <c r="B69" s="12"/>
    </row>
    <row r="70" spans="2:2" x14ac:dyDescent="0.25">
      <c r="B70" s="12"/>
    </row>
    <row r="71" spans="2:2" x14ac:dyDescent="0.25">
      <c r="B71" s="12"/>
    </row>
  </sheetData>
  <pageMargins left="0.7" right="0.7" top="0.75" bottom="0.75" header="0.3" footer="0.3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4"/>
  <sheetViews>
    <sheetView rightToLeft="1" zoomScale="40" zoomScaleNormal="40" workbookViewId="0">
      <pane ySplit="1" topLeftCell="A2" activePane="bottomLeft" state="frozen"/>
      <selection pane="bottomLeft" activeCell="G1" sqref="G1:G1048576"/>
    </sheetView>
  </sheetViews>
  <sheetFormatPr defaultColWidth="33" defaultRowHeight="148.80000000000001" customHeight="1" x14ac:dyDescent="0.25"/>
  <cols>
    <col min="1" max="3" width="33" style="8"/>
    <col min="4" max="4" width="33" style="22"/>
    <col min="5" max="6" width="33" style="8"/>
    <col min="7" max="7" width="21.5" style="5" customWidth="1"/>
    <col min="8" max="8" width="33" style="5"/>
    <col min="9" max="9" width="33" style="8"/>
    <col min="10" max="10" width="33" style="28"/>
    <col min="11" max="11" width="17.296875" style="8" customWidth="1"/>
    <col min="12" max="16384" width="33" style="8"/>
  </cols>
  <sheetData>
    <row r="1" spans="1:12" ht="159.6" customHeight="1" x14ac:dyDescent="0.25">
      <c r="A1" s="6" t="s">
        <v>0</v>
      </c>
      <c r="B1" s="7" t="s">
        <v>268</v>
      </c>
      <c r="C1" s="20" t="s">
        <v>1</v>
      </c>
      <c r="D1" s="24" t="s">
        <v>343</v>
      </c>
      <c r="E1" s="7" t="s">
        <v>342</v>
      </c>
      <c r="F1" s="26" t="s">
        <v>281</v>
      </c>
      <c r="G1" s="26" t="s">
        <v>408</v>
      </c>
      <c r="H1" s="7" t="s">
        <v>76</v>
      </c>
      <c r="J1" s="28" t="s">
        <v>379</v>
      </c>
      <c r="L1" s="9" t="s">
        <v>359</v>
      </c>
    </row>
    <row r="2" spans="1:12" ht="75" customHeight="1" x14ac:dyDescent="0.25">
      <c r="A2" s="8" t="s">
        <v>149</v>
      </c>
      <c r="B2" s="5" t="s">
        <v>344</v>
      </c>
      <c r="C2" s="8" t="s">
        <v>75</v>
      </c>
      <c r="D2" s="22" t="s">
        <v>345</v>
      </c>
      <c r="F2" s="5" t="s">
        <v>354</v>
      </c>
      <c r="G2" s="8" t="s">
        <v>149</v>
      </c>
      <c r="H2" s="5" t="s">
        <v>141</v>
      </c>
      <c r="J2" s="28" t="str">
        <f>+CONCATENATE("[",A2,"] [",B2,"]",D2, "  NOT NULL")</f>
        <v>[Patient_ID] [nvarchar](50)  NOT NULL</v>
      </c>
      <c r="L2" s="5" t="s">
        <v>382</v>
      </c>
    </row>
    <row r="3" spans="1:12" ht="67.8" customHeight="1" x14ac:dyDescent="0.25">
      <c r="A3" s="8" t="s">
        <v>150</v>
      </c>
      <c r="B3" s="5" t="s">
        <v>344</v>
      </c>
      <c r="C3" s="8" t="s">
        <v>75</v>
      </c>
      <c r="D3" s="22" t="s">
        <v>345</v>
      </c>
      <c r="G3" s="8" t="s">
        <v>150</v>
      </c>
      <c r="H3" s="5" t="s">
        <v>15</v>
      </c>
      <c r="J3" s="28" t="str">
        <f>+CONCATENATE(",[",A3,"] [",B3,"]",D3, "  NOT NULL")</f>
        <v>,[Encounter_ID] [nvarchar](50)  NOT NULL</v>
      </c>
      <c r="L3" s="12" t="s">
        <v>355</v>
      </c>
    </row>
    <row r="4" spans="1:12" ht="70.8" customHeight="1" x14ac:dyDescent="0.25">
      <c r="A4" s="11" t="s">
        <v>151</v>
      </c>
      <c r="B4" s="5" t="s">
        <v>344</v>
      </c>
      <c r="C4" s="8" t="s">
        <v>75</v>
      </c>
      <c r="D4" s="22" t="s">
        <v>378</v>
      </c>
      <c r="E4" s="5" t="s">
        <v>364</v>
      </c>
      <c r="F4" s="5"/>
      <c r="G4" s="11" t="s">
        <v>418</v>
      </c>
      <c r="H4" s="5" t="s">
        <v>142</v>
      </c>
      <c r="J4" s="28" t="str">
        <f t="shared" ref="J4:J22" si="0">+CONCATENATE(",[",A4,"] [",B4,"]",D4, "  NULL")</f>
        <v>,[Provider_ID] [nvarchar](20)  NULL</v>
      </c>
      <c r="L4" s="5" t="s">
        <v>356</v>
      </c>
    </row>
    <row r="5" spans="1:12" ht="69" customHeight="1" x14ac:dyDescent="0.25">
      <c r="A5" s="8" t="s">
        <v>187</v>
      </c>
      <c r="B5" s="12" t="s">
        <v>344</v>
      </c>
      <c r="C5" s="8" t="s">
        <v>75</v>
      </c>
      <c r="D5" s="22" t="s">
        <v>375</v>
      </c>
      <c r="G5" s="8" t="s">
        <v>187</v>
      </c>
      <c r="H5" s="5" t="s">
        <v>204</v>
      </c>
      <c r="J5" s="28" t="str">
        <f t="shared" si="0"/>
        <v>,[Medication_Code_System] [nvarchar](200)  NULL</v>
      </c>
      <c r="L5" s="5" t="s">
        <v>365</v>
      </c>
    </row>
    <row r="6" spans="1:12" ht="69" customHeight="1" x14ac:dyDescent="0.25">
      <c r="A6" s="8" t="s">
        <v>188</v>
      </c>
      <c r="B6" s="12" t="s">
        <v>344</v>
      </c>
      <c r="C6" s="8" t="s">
        <v>75</v>
      </c>
      <c r="D6" s="22" t="s">
        <v>386</v>
      </c>
      <c r="G6" s="8" t="s">
        <v>188</v>
      </c>
      <c r="H6" s="5" t="s">
        <v>205</v>
      </c>
      <c r="J6" s="28" t="str">
        <f t="shared" si="0"/>
        <v>,[Alternate_Drug_Code] [nvarchar](1000)  NULL</v>
      </c>
      <c r="L6" s="5" t="s">
        <v>357</v>
      </c>
    </row>
    <row r="7" spans="1:12" ht="75" customHeight="1" x14ac:dyDescent="0.25">
      <c r="A7" s="8" t="s">
        <v>189</v>
      </c>
      <c r="B7" s="12" t="s">
        <v>344</v>
      </c>
      <c r="C7" s="8" t="s">
        <v>75</v>
      </c>
      <c r="D7" s="22" t="s">
        <v>347</v>
      </c>
      <c r="G7" s="8" t="s">
        <v>189</v>
      </c>
      <c r="H7" s="5" t="s">
        <v>206</v>
      </c>
      <c r="J7" s="28" t="str">
        <f t="shared" si="0"/>
        <v>,[Medication_Code] [nvarchar](500)  NULL</v>
      </c>
      <c r="L7" s="12" t="s">
        <v>358</v>
      </c>
    </row>
    <row r="8" spans="1:12" ht="69" customHeight="1" x14ac:dyDescent="0.25">
      <c r="A8" s="8" t="s">
        <v>190</v>
      </c>
      <c r="B8" s="12" t="s">
        <v>344</v>
      </c>
      <c r="C8" s="8" t="s">
        <v>75</v>
      </c>
      <c r="D8" s="22" t="s">
        <v>347</v>
      </c>
      <c r="G8" s="8" t="s">
        <v>190</v>
      </c>
      <c r="H8" s="5" t="s">
        <v>207</v>
      </c>
      <c r="J8" s="28" t="str">
        <f t="shared" si="0"/>
        <v>,[Medication_Name] [nvarchar](500)  NULL</v>
      </c>
      <c r="L8" s="5" t="s">
        <v>395</v>
      </c>
    </row>
    <row r="9" spans="1:12" ht="46.8" customHeight="1" x14ac:dyDescent="0.25">
      <c r="A9" s="8" t="s">
        <v>191</v>
      </c>
      <c r="B9" s="12" t="s">
        <v>344</v>
      </c>
      <c r="C9" s="8" t="s">
        <v>75</v>
      </c>
      <c r="D9" s="22" t="s">
        <v>378</v>
      </c>
      <c r="G9" s="8" t="s">
        <v>191</v>
      </c>
      <c r="H9" s="5" t="s">
        <v>208</v>
      </c>
      <c r="J9" s="28" t="str">
        <f t="shared" si="0"/>
        <v>,[Alternate_Drug_Code_System] [nvarchar](20)  NULL</v>
      </c>
    </row>
    <row r="10" spans="1:12" ht="70.8" customHeight="1" x14ac:dyDescent="0.25">
      <c r="A10" s="8" t="s">
        <v>192</v>
      </c>
      <c r="B10" s="12" t="s">
        <v>344</v>
      </c>
      <c r="C10" s="8" t="s">
        <v>75</v>
      </c>
      <c r="D10" s="22" t="s">
        <v>378</v>
      </c>
      <c r="E10" s="5" t="str">
        <f>+L8</f>
        <v>השדה Start_date יגיע בפורמט YYYYMMDD. יש להמיר את תוכנו לתאריך</v>
      </c>
      <c r="F10" s="5" t="s">
        <v>373</v>
      </c>
      <c r="G10" s="8" t="s">
        <v>192</v>
      </c>
      <c r="H10" s="5" t="s">
        <v>209</v>
      </c>
      <c r="J10" s="28" t="str">
        <f t="shared" si="0"/>
        <v>,[Start_Date] [nvarchar](20)  NULL</v>
      </c>
    </row>
    <row r="11" spans="1:12" ht="73.8" customHeight="1" x14ac:dyDescent="0.25">
      <c r="A11" s="8" t="s">
        <v>193</v>
      </c>
      <c r="B11" s="12" t="s">
        <v>344</v>
      </c>
      <c r="C11" s="8" t="s">
        <v>75</v>
      </c>
      <c r="D11" s="22" t="s">
        <v>345</v>
      </c>
      <c r="G11" s="8" t="s">
        <v>193</v>
      </c>
      <c r="H11" s="5" t="s">
        <v>210</v>
      </c>
      <c r="J11" s="28" t="str">
        <f t="shared" si="0"/>
        <v>,[Route_of_Administration] [nvarchar](50)  NULL</v>
      </c>
    </row>
    <row r="12" spans="1:12" ht="58.8" customHeight="1" x14ac:dyDescent="0.25">
      <c r="A12" s="8" t="s">
        <v>194</v>
      </c>
      <c r="B12" s="12" t="s">
        <v>344</v>
      </c>
      <c r="C12" s="8" t="s">
        <v>73</v>
      </c>
      <c r="D12" s="22" t="s">
        <v>345</v>
      </c>
      <c r="E12" s="5" t="s">
        <v>380</v>
      </c>
      <c r="G12" s="8" t="s">
        <v>194</v>
      </c>
      <c r="H12" s="5" t="s">
        <v>211</v>
      </c>
      <c r="J12" s="28" t="str">
        <f t="shared" si="0"/>
        <v>,[Units_Per_Administration] [nvarchar](50)  NULL</v>
      </c>
    </row>
    <row r="13" spans="1:12" ht="73.8" customHeight="1" x14ac:dyDescent="0.25">
      <c r="A13" s="8" t="s">
        <v>195</v>
      </c>
      <c r="B13" s="12" t="s">
        <v>344</v>
      </c>
      <c r="C13" s="8" t="s">
        <v>75</v>
      </c>
      <c r="D13" s="22" t="s">
        <v>378</v>
      </c>
      <c r="E13" s="5" t="s">
        <v>372</v>
      </c>
      <c r="G13" s="8" t="s">
        <v>195</v>
      </c>
      <c r="H13" s="5" t="s">
        <v>212</v>
      </c>
      <c r="J13" s="28" t="str">
        <f t="shared" si="0"/>
        <v>,[Frequency] [nvarchar](20)  NULL</v>
      </c>
    </row>
    <row r="14" spans="1:12" ht="64.8" customHeight="1" x14ac:dyDescent="0.25">
      <c r="A14" s="8" t="s">
        <v>196</v>
      </c>
      <c r="B14" s="12" t="s">
        <v>344</v>
      </c>
      <c r="C14" s="8" t="s">
        <v>75</v>
      </c>
      <c r="D14" s="22" t="s">
        <v>347</v>
      </c>
      <c r="E14" s="5" t="s">
        <v>372</v>
      </c>
      <c r="G14" s="8" t="s">
        <v>196</v>
      </c>
      <c r="H14" s="5" t="s">
        <v>213</v>
      </c>
      <c r="J14" s="28" t="str">
        <f t="shared" si="0"/>
        <v>,[Strength] [nvarchar](500)  NULL</v>
      </c>
    </row>
    <row r="15" spans="1:12" ht="37.799999999999997" customHeight="1" x14ac:dyDescent="0.25">
      <c r="A15" s="8" t="s">
        <v>197</v>
      </c>
      <c r="B15" s="12" t="s">
        <v>344</v>
      </c>
      <c r="C15" s="8" t="s">
        <v>75</v>
      </c>
      <c r="D15" s="22" t="s">
        <v>347</v>
      </c>
      <c r="G15" s="8" t="s">
        <v>197</v>
      </c>
      <c r="H15" s="5" t="s">
        <v>214</v>
      </c>
      <c r="J15" s="28" t="str">
        <f t="shared" si="0"/>
        <v>,[Form] [nvarchar](500)  NULL</v>
      </c>
    </row>
    <row r="16" spans="1:12" ht="54" customHeight="1" x14ac:dyDescent="0.25">
      <c r="A16" s="8" t="s">
        <v>198</v>
      </c>
      <c r="B16" s="12" t="s">
        <v>344</v>
      </c>
      <c r="C16" s="8" t="s">
        <v>75</v>
      </c>
      <c r="D16" s="22" t="s">
        <v>346</v>
      </c>
      <c r="E16" s="5" t="s">
        <v>372</v>
      </c>
      <c r="G16" s="8" t="s">
        <v>198</v>
      </c>
      <c r="H16" s="5" t="s">
        <v>215</v>
      </c>
      <c r="J16" s="28" t="str">
        <f t="shared" si="0"/>
        <v>,[Duration] [nvarchar](150)  NULL</v>
      </c>
    </row>
    <row r="17" spans="1:10" ht="61.8" customHeight="1" x14ac:dyDescent="0.25">
      <c r="A17" s="8" t="s">
        <v>199</v>
      </c>
      <c r="B17" s="12" t="s">
        <v>344</v>
      </c>
      <c r="C17" s="8" t="s">
        <v>75</v>
      </c>
      <c r="D17" s="22" t="s">
        <v>347</v>
      </c>
      <c r="E17" s="5" t="s">
        <v>381</v>
      </c>
      <c r="G17" s="8" t="s">
        <v>199</v>
      </c>
      <c r="H17" s="5" t="s">
        <v>216</v>
      </c>
      <c r="J17" s="28" t="str">
        <f t="shared" si="0"/>
        <v>,[Refills] [nvarchar](500)  NULL</v>
      </c>
    </row>
    <row r="18" spans="1:10" ht="58.8" customHeight="1" x14ac:dyDescent="0.25">
      <c r="A18" s="8" t="s">
        <v>200</v>
      </c>
      <c r="B18" s="12" t="s">
        <v>344</v>
      </c>
      <c r="C18" s="8" t="s">
        <v>75</v>
      </c>
      <c r="D18" s="22" t="s">
        <v>347</v>
      </c>
      <c r="E18" s="5" t="s">
        <v>381</v>
      </c>
      <c r="G18" s="8" t="s">
        <v>200</v>
      </c>
      <c r="H18" s="5" t="s">
        <v>217</v>
      </c>
      <c r="J18" s="28" t="str">
        <f t="shared" si="0"/>
        <v>,[Medication_Source] [nvarchar](500)  NULL</v>
      </c>
    </row>
    <row r="19" spans="1:10" ht="51" customHeight="1" x14ac:dyDescent="0.25">
      <c r="A19" s="8" t="s">
        <v>201</v>
      </c>
      <c r="B19" s="12" t="s">
        <v>344</v>
      </c>
      <c r="C19" s="8" t="s">
        <v>75</v>
      </c>
      <c r="D19" s="22" t="s">
        <v>347</v>
      </c>
      <c r="E19" s="5" t="s">
        <v>381</v>
      </c>
      <c r="G19" s="8" t="s">
        <v>201</v>
      </c>
      <c r="H19" s="5" t="s">
        <v>218</v>
      </c>
      <c r="J19" s="28" t="str">
        <f t="shared" si="0"/>
        <v>,[Indication_Code_System] [nvarchar](500)  NULL</v>
      </c>
    </row>
    <row r="20" spans="1:10" ht="64.8" customHeight="1" x14ac:dyDescent="0.25">
      <c r="A20" s="8" t="s">
        <v>202</v>
      </c>
      <c r="B20" s="12" t="s">
        <v>344</v>
      </c>
      <c r="C20" s="8" t="s">
        <v>75</v>
      </c>
      <c r="D20" s="22" t="s">
        <v>347</v>
      </c>
      <c r="E20" s="5" t="s">
        <v>381</v>
      </c>
      <c r="G20" s="8" t="s">
        <v>202</v>
      </c>
      <c r="H20" s="5" t="s">
        <v>219</v>
      </c>
      <c r="J20" s="28" t="str">
        <f t="shared" si="0"/>
        <v>,[Indication_Code] [nvarchar](500)  NULL</v>
      </c>
    </row>
    <row r="21" spans="1:10" ht="70.8" customHeight="1" x14ac:dyDescent="0.25">
      <c r="A21" s="8" t="s">
        <v>203</v>
      </c>
      <c r="B21" s="12" t="s">
        <v>344</v>
      </c>
      <c r="C21" s="8" t="s">
        <v>75</v>
      </c>
      <c r="D21" s="22" t="s">
        <v>347</v>
      </c>
      <c r="E21" s="5" t="s">
        <v>381</v>
      </c>
      <c r="G21" s="8" t="s">
        <v>203</v>
      </c>
      <c r="H21" s="5" t="s">
        <v>220</v>
      </c>
      <c r="J21" s="28" t="str">
        <f t="shared" si="0"/>
        <v>,[Indication_Description] [nvarchar](500)  NULL</v>
      </c>
    </row>
    <row r="22" spans="1:10" ht="54" customHeight="1" x14ac:dyDescent="0.25">
      <c r="A22" s="8" t="s">
        <v>168</v>
      </c>
      <c r="B22" s="12" t="s">
        <v>344</v>
      </c>
      <c r="C22" s="8" t="s">
        <v>75</v>
      </c>
      <c r="D22" s="22" t="s">
        <v>378</v>
      </c>
      <c r="G22" s="8" t="s">
        <v>168</v>
      </c>
      <c r="H22" s="5" t="s">
        <v>186</v>
      </c>
      <c r="J22" s="28" t="str">
        <f t="shared" si="0"/>
        <v>,[Action] [nvarchar](20)  NULL</v>
      </c>
    </row>
    <row r="23" spans="1:10" ht="52.8" customHeight="1" x14ac:dyDescent="0.25"/>
    <row r="24" spans="1:10" ht="148.80000000000001" customHeight="1" x14ac:dyDescent="0.25">
      <c r="J24" s="28" t="s">
        <v>348</v>
      </c>
    </row>
  </sheetData>
  <autoFilter ref="A1:L22"/>
  <pageMargins left="0.7" right="0.7" top="0.75" bottom="0.75" header="0.3" footer="0.3"/>
  <pageSetup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"/>
  <sheetViews>
    <sheetView rightToLeft="1" zoomScale="50" zoomScaleNormal="50" workbookViewId="0">
      <pane ySplit="1" topLeftCell="A2" activePane="bottomLeft" state="frozen"/>
      <selection pane="bottomLeft" activeCell="G1" sqref="G1:G1048576"/>
    </sheetView>
  </sheetViews>
  <sheetFormatPr defaultColWidth="9" defaultRowHeight="13.8" x14ac:dyDescent="0.25"/>
  <cols>
    <col min="1" max="1" width="26.5" style="8" bestFit="1" customWidth="1"/>
    <col min="2" max="2" width="26.5" style="8" customWidth="1"/>
    <col min="3" max="3" width="15.8984375" style="8" customWidth="1"/>
    <col min="4" max="4" width="15.8984375" style="22" customWidth="1"/>
    <col min="5" max="6" width="15.8984375" style="8" customWidth="1"/>
    <col min="7" max="7" width="21.5" style="5" customWidth="1"/>
    <col min="8" max="8" width="135.69921875" style="8" bestFit="1" customWidth="1"/>
    <col min="9" max="9" width="9" style="8"/>
    <col min="10" max="10" width="37.796875" style="28" customWidth="1"/>
    <col min="11" max="11" width="9" style="5"/>
    <col min="12" max="12" width="21.8984375" style="5" customWidth="1"/>
    <col min="13" max="16384" width="9" style="8"/>
  </cols>
  <sheetData>
    <row r="1" spans="1:12" ht="152.4" customHeight="1" x14ac:dyDescent="0.25">
      <c r="A1" s="6" t="s">
        <v>0</v>
      </c>
      <c r="B1" s="7" t="s">
        <v>268</v>
      </c>
      <c r="C1" s="24" t="s">
        <v>1</v>
      </c>
      <c r="D1" s="24" t="s">
        <v>343</v>
      </c>
      <c r="E1" s="7" t="s">
        <v>342</v>
      </c>
      <c r="F1" s="26" t="s">
        <v>281</v>
      </c>
      <c r="G1" s="26" t="s">
        <v>408</v>
      </c>
      <c r="H1" s="6" t="s">
        <v>76</v>
      </c>
      <c r="J1" s="28" t="s">
        <v>389</v>
      </c>
      <c r="L1" s="23" t="s">
        <v>359</v>
      </c>
    </row>
    <row r="2" spans="1:12" ht="82.8" x14ac:dyDescent="0.25">
      <c r="A2" s="8" t="s">
        <v>149</v>
      </c>
      <c r="B2" s="5" t="s">
        <v>344</v>
      </c>
      <c r="C2" s="8" t="s">
        <v>75</v>
      </c>
      <c r="D2" s="22" t="s">
        <v>345</v>
      </c>
      <c r="G2" s="8" t="s">
        <v>149</v>
      </c>
      <c r="H2" s="8" t="s">
        <v>141</v>
      </c>
      <c r="J2" s="28" t="str">
        <f>+CONCATENATE("[",A2,"] [",B2,"]",D2, "  NOT NULL")</f>
        <v>[Patient_ID] [nvarchar](50)  NOT NULL</v>
      </c>
      <c r="L2" s="5" t="s">
        <v>390</v>
      </c>
    </row>
    <row r="3" spans="1:12" ht="41.4" x14ac:dyDescent="0.25">
      <c r="A3" s="11" t="s">
        <v>151</v>
      </c>
      <c r="B3" s="5" t="s">
        <v>344</v>
      </c>
      <c r="C3" s="8" t="s">
        <v>75</v>
      </c>
      <c r="D3" s="22" t="s">
        <v>378</v>
      </c>
      <c r="E3" s="5" t="s">
        <v>364</v>
      </c>
      <c r="F3" s="5"/>
      <c r="G3" s="11" t="s">
        <v>418</v>
      </c>
      <c r="H3" s="8" t="s">
        <v>142</v>
      </c>
      <c r="J3" s="28" t="str">
        <f>+CONCATENATE(",[",A3,"] [",B3,"]",D3, "  NOT NULL")</f>
        <v>,[Provider_ID] [nvarchar](20)  NOT NULL</v>
      </c>
      <c r="L3" s="12" t="s">
        <v>355</v>
      </c>
    </row>
    <row r="4" spans="1:12" ht="55.2" x14ac:dyDescent="0.25">
      <c r="A4" s="8" t="s">
        <v>221</v>
      </c>
      <c r="B4" s="5" t="s">
        <v>344</v>
      </c>
      <c r="C4" s="8" t="s">
        <v>75</v>
      </c>
      <c r="D4" s="22" t="s">
        <v>378</v>
      </c>
      <c r="E4" s="5" t="s">
        <v>364</v>
      </c>
      <c r="F4" s="5" t="s">
        <v>373</v>
      </c>
      <c r="G4" s="8" t="s">
        <v>221</v>
      </c>
      <c r="H4" s="8" t="s">
        <v>233</v>
      </c>
      <c r="J4" s="28" t="str">
        <f t="shared" ref="J4:J15" si="0">+CONCATENATE(",[",A4,"] [",B4,"]",D4, "  NULL")</f>
        <v>,[date_of_diagnosis] [nvarchar](20)  NULL</v>
      </c>
      <c r="L4" s="5" t="s">
        <v>356</v>
      </c>
    </row>
    <row r="5" spans="1:12" ht="41.4" x14ac:dyDescent="0.25">
      <c r="A5" s="8" t="s">
        <v>222</v>
      </c>
      <c r="B5" s="5" t="s">
        <v>344</v>
      </c>
      <c r="C5" s="8" t="s">
        <v>75</v>
      </c>
      <c r="D5" s="22" t="s">
        <v>378</v>
      </c>
      <c r="E5" s="5" t="s">
        <v>364</v>
      </c>
      <c r="F5" s="5" t="s">
        <v>373</v>
      </c>
      <c r="G5" s="8" t="s">
        <v>222</v>
      </c>
      <c r="H5" s="8" t="s">
        <v>234</v>
      </c>
      <c r="J5" s="28" t="str">
        <f t="shared" si="0"/>
        <v>,[observation_date] [nvarchar](20)  NULL</v>
      </c>
      <c r="L5" s="5" t="s">
        <v>365</v>
      </c>
    </row>
    <row r="6" spans="1:12" ht="55.2" x14ac:dyDescent="0.25">
      <c r="A6" s="8" t="s">
        <v>223</v>
      </c>
      <c r="B6" s="5" t="s">
        <v>344</v>
      </c>
      <c r="C6" s="8" t="s">
        <v>75</v>
      </c>
      <c r="D6" s="22" t="s">
        <v>378</v>
      </c>
      <c r="G6" s="8" t="s">
        <v>223</v>
      </c>
      <c r="H6" s="8" t="s">
        <v>235</v>
      </c>
      <c r="J6" s="28" t="str">
        <f t="shared" si="0"/>
        <v>,[site_and_morph_code_system] [nvarchar](20)  NULL</v>
      </c>
      <c r="L6" s="5" t="s">
        <v>357</v>
      </c>
    </row>
    <row r="7" spans="1:12" ht="27.6" x14ac:dyDescent="0.25">
      <c r="A7" s="8" t="s">
        <v>224</v>
      </c>
      <c r="B7" s="5" t="s">
        <v>344</v>
      </c>
      <c r="C7" s="8" t="s">
        <v>75</v>
      </c>
      <c r="D7" s="22" t="s">
        <v>396</v>
      </c>
      <c r="G7" s="8" t="s">
        <v>224</v>
      </c>
      <c r="H7" s="8" t="s">
        <v>236</v>
      </c>
      <c r="J7" s="28" t="str">
        <f t="shared" si="0"/>
        <v>,[site_code] [nvarchar](10)  NULL</v>
      </c>
      <c r="L7" s="12" t="s">
        <v>358</v>
      </c>
    </row>
    <row r="8" spans="1:12" ht="41.4" x14ac:dyDescent="0.25">
      <c r="A8" s="8" t="s">
        <v>225</v>
      </c>
      <c r="B8" s="5" t="s">
        <v>344</v>
      </c>
      <c r="C8" s="8" t="s">
        <v>75</v>
      </c>
      <c r="D8" s="22" t="s">
        <v>396</v>
      </c>
      <c r="G8" s="8" t="s">
        <v>225</v>
      </c>
      <c r="H8" s="8" t="s">
        <v>237</v>
      </c>
      <c r="J8" s="28" t="str">
        <f t="shared" si="0"/>
        <v>,[Morphology_Code] [nvarchar](10)  NULL</v>
      </c>
      <c r="L8" s="27" t="s">
        <v>398</v>
      </c>
    </row>
    <row r="9" spans="1:12" ht="41.4" x14ac:dyDescent="0.25">
      <c r="A9" s="8" t="s">
        <v>226</v>
      </c>
      <c r="B9" s="5" t="s">
        <v>344</v>
      </c>
      <c r="C9" s="8" t="s">
        <v>75</v>
      </c>
      <c r="D9" s="22" t="s">
        <v>396</v>
      </c>
      <c r="G9" s="8" t="s">
        <v>226</v>
      </c>
      <c r="H9" s="8" t="s">
        <v>238</v>
      </c>
      <c r="J9" s="28" t="str">
        <f t="shared" si="0"/>
        <v>,[Grade_Code] [nvarchar](10)  NULL</v>
      </c>
      <c r="L9" s="29" t="s">
        <v>399</v>
      </c>
    </row>
    <row r="10" spans="1:12" ht="41.4" x14ac:dyDescent="0.25">
      <c r="A10" s="8" t="s">
        <v>227</v>
      </c>
      <c r="B10" s="5" t="s">
        <v>344</v>
      </c>
      <c r="C10" s="8" t="s">
        <v>75</v>
      </c>
      <c r="D10" s="22" t="s">
        <v>397</v>
      </c>
      <c r="G10" s="8" t="s">
        <v>227</v>
      </c>
      <c r="H10" s="8" t="s">
        <v>239</v>
      </c>
      <c r="J10" s="28" t="str">
        <f t="shared" si="0"/>
        <v>,[Stage_Code] [nvarchar](30)  NULL</v>
      </c>
      <c r="L10" s="29" t="s">
        <v>400</v>
      </c>
    </row>
    <row r="11" spans="1:12" x14ac:dyDescent="0.25">
      <c r="A11" s="8" t="s">
        <v>228</v>
      </c>
      <c r="B11" s="5" t="s">
        <v>344</v>
      </c>
      <c r="C11" s="8" t="s">
        <v>75</v>
      </c>
      <c r="D11" s="22" t="s">
        <v>376</v>
      </c>
      <c r="G11" s="8" t="s">
        <v>228</v>
      </c>
      <c r="H11" s="8" t="s">
        <v>240</v>
      </c>
      <c r="J11" s="28" t="str">
        <f t="shared" si="0"/>
        <v>,[tnm_t] [nvarchar](100)  NULL</v>
      </c>
    </row>
    <row r="12" spans="1:12" x14ac:dyDescent="0.25">
      <c r="A12" s="8" t="s">
        <v>229</v>
      </c>
      <c r="B12" s="5" t="s">
        <v>344</v>
      </c>
      <c r="C12" s="8" t="s">
        <v>75</v>
      </c>
      <c r="D12" s="22" t="s">
        <v>376</v>
      </c>
      <c r="G12" s="8" t="s">
        <v>229</v>
      </c>
      <c r="H12" s="8" t="s">
        <v>241</v>
      </c>
      <c r="J12" s="28" t="str">
        <f t="shared" si="0"/>
        <v>,[tnm_n] [nvarchar](100)  NULL</v>
      </c>
    </row>
    <row r="13" spans="1:12" x14ac:dyDescent="0.25">
      <c r="A13" s="8" t="s">
        <v>230</v>
      </c>
      <c r="B13" s="5" t="s">
        <v>344</v>
      </c>
      <c r="C13" s="8" t="s">
        <v>75</v>
      </c>
      <c r="D13" s="22" t="s">
        <v>376</v>
      </c>
      <c r="G13" s="8" t="s">
        <v>230</v>
      </c>
      <c r="H13" s="8" t="s">
        <v>242</v>
      </c>
      <c r="J13" s="28" t="str">
        <f t="shared" si="0"/>
        <v>,[tnm_m] [nvarchar](100)  NULL</v>
      </c>
    </row>
    <row r="14" spans="1:12" x14ac:dyDescent="0.25">
      <c r="A14" s="8" t="s">
        <v>231</v>
      </c>
      <c r="B14" s="5" t="s">
        <v>344</v>
      </c>
      <c r="C14" s="8" t="s">
        <v>75</v>
      </c>
      <c r="D14" s="22" t="s">
        <v>376</v>
      </c>
      <c r="G14" s="8" t="s">
        <v>231</v>
      </c>
      <c r="H14" s="8" t="s">
        <v>243</v>
      </c>
      <c r="J14" s="28" t="str">
        <f t="shared" si="0"/>
        <v>,[recurrence_date] [nvarchar](100)  NULL</v>
      </c>
    </row>
    <row r="15" spans="1:12" ht="27.6" x14ac:dyDescent="0.25">
      <c r="A15" s="8" t="s">
        <v>232</v>
      </c>
      <c r="B15" s="5" t="s">
        <v>344</v>
      </c>
      <c r="C15" s="8" t="s">
        <v>75</v>
      </c>
      <c r="D15" s="22" t="s">
        <v>376</v>
      </c>
      <c r="G15" s="8" t="s">
        <v>232</v>
      </c>
      <c r="H15" s="8" t="s">
        <v>244</v>
      </c>
      <c r="J15" s="28" t="str">
        <f t="shared" si="0"/>
        <v>,[multiple_primary_tumors] [nvarchar](100)  NULL</v>
      </c>
    </row>
    <row r="16" spans="1:12" x14ac:dyDescent="0.25">
      <c r="G16" s="8"/>
    </row>
    <row r="17" spans="7:10" x14ac:dyDescent="0.25">
      <c r="G17" s="8"/>
    </row>
    <row r="18" spans="7:10" ht="27.6" x14ac:dyDescent="0.25">
      <c r="G18" s="8"/>
      <c r="J18" s="28" t="s">
        <v>348</v>
      </c>
    </row>
    <row r="19" spans="7:10" x14ac:dyDescent="0.25">
      <c r="G19" s="8"/>
    </row>
    <row r="20" spans="7:10" x14ac:dyDescent="0.25">
      <c r="G20" s="8"/>
    </row>
    <row r="21" spans="7:10" x14ac:dyDescent="0.25">
      <c r="G21" s="8"/>
    </row>
    <row r="22" spans="7:10" x14ac:dyDescent="0.25">
      <c r="G22" s="8"/>
    </row>
  </sheetData>
  <pageMargins left="0.7" right="0.7" top="0.75" bottom="0.75" header="0.3" footer="0.3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"/>
  <sheetViews>
    <sheetView rightToLeft="1" zoomScale="60" zoomScaleNormal="60" workbookViewId="0">
      <pane ySplit="1" topLeftCell="A3" activePane="bottomLeft" state="frozen"/>
      <selection pane="bottomLeft" activeCell="G1" sqref="G1:G1048576"/>
    </sheetView>
  </sheetViews>
  <sheetFormatPr defaultColWidth="9" defaultRowHeight="13.8" x14ac:dyDescent="0.25"/>
  <cols>
    <col min="1" max="1" width="21.5" style="8" bestFit="1" customWidth="1"/>
    <col min="2" max="2" width="21.5" style="8" customWidth="1"/>
    <col min="3" max="3" width="17.19921875" style="8" customWidth="1"/>
    <col min="4" max="4" width="17.19921875" style="22" customWidth="1"/>
    <col min="5" max="5" width="17.19921875" style="8" customWidth="1"/>
    <col min="6" max="6" width="17.19921875" style="5" customWidth="1"/>
    <col min="7" max="7" width="21.5" style="5" customWidth="1"/>
    <col min="8" max="8" width="45.69921875" style="8" customWidth="1"/>
    <col min="9" max="9" width="9" style="8"/>
    <col min="10" max="10" width="30.5" style="28" customWidth="1"/>
    <col min="11" max="11" width="9" style="8"/>
    <col min="12" max="12" width="18.8984375" style="8" customWidth="1"/>
    <col min="13" max="16384" width="9" style="8"/>
  </cols>
  <sheetData>
    <row r="1" spans="1:12" ht="174.6" customHeight="1" x14ac:dyDescent="0.25">
      <c r="A1" s="6" t="s">
        <v>0</v>
      </c>
      <c r="B1" s="7" t="s">
        <v>268</v>
      </c>
      <c r="C1" s="24" t="s">
        <v>1</v>
      </c>
      <c r="D1" s="24" t="s">
        <v>343</v>
      </c>
      <c r="E1" s="7" t="s">
        <v>342</v>
      </c>
      <c r="F1" s="26" t="s">
        <v>281</v>
      </c>
      <c r="G1" s="26" t="s">
        <v>408</v>
      </c>
      <c r="H1" s="6" t="s">
        <v>76</v>
      </c>
      <c r="J1" s="28" t="s">
        <v>388</v>
      </c>
      <c r="K1" s="5"/>
      <c r="L1" s="23" t="s">
        <v>359</v>
      </c>
    </row>
    <row r="2" spans="1:12" ht="82.8" x14ac:dyDescent="0.25">
      <c r="A2" s="8" t="s">
        <v>132</v>
      </c>
      <c r="B2" s="5" t="s">
        <v>344</v>
      </c>
      <c r="C2" s="8" t="s">
        <v>75</v>
      </c>
      <c r="D2" s="22" t="s">
        <v>345</v>
      </c>
      <c r="G2" s="8" t="s">
        <v>132</v>
      </c>
      <c r="H2" s="8" t="s">
        <v>141</v>
      </c>
      <c r="J2" s="28" t="str">
        <f>+CONCATENATE("[",A2,"] [",B2,"]",D2, "  NOT NULL")</f>
        <v>[patient_id] [nvarchar](50)  NOT NULL</v>
      </c>
      <c r="L2" s="5" t="s">
        <v>391</v>
      </c>
    </row>
    <row r="3" spans="1:12" ht="55.2" x14ac:dyDescent="0.25">
      <c r="A3" s="8" t="s">
        <v>133</v>
      </c>
      <c r="B3" s="5" t="s">
        <v>344</v>
      </c>
      <c r="C3" s="8" t="s">
        <v>75</v>
      </c>
      <c r="D3" s="22" t="s">
        <v>345</v>
      </c>
      <c r="G3" s="8" t="s">
        <v>133</v>
      </c>
      <c r="H3" s="8" t="s">
        <v>15</v>
      </c>
      <c r="J3" s="28" t="str">
        <f>+CONCATENATE(",[",A3,"] [",B3,"]",D3, "  NOT NULL")</f>
        <v>,[encounter_id] [nvarchar](50)  NOT NULL</v>
      </c>
      <c r="L3" s="12" t="s">
        <v>355</v>
      </c>
    </row>
    <row r="4" spans="1:12" ht="69" x14ac:dyDescent="0.25">
      <c r="A4" s="11" t="s">
        <v>151</v>
      </c>
      <c r="B4" s="5" t="s">
        <v>344</v>
      </c>
      <c r="C4" s="8" t="s">
        <v>75</v>
      </c>
      <c r="D4" s="22" t="s">
        <v>378</v>
      </c>
      <c r="E4" s="5" t="s">
        <v>364</v>
      </c>
      <c r="G4" s="11" t="s">
        <v>418</v>
      </c>
      <c r="H4" s="8" t="s">
        <v>142</v>
      </c>
      <c r="J4" s="28" t="str">
        <f t="shared" ref="J4:J8" si="0">+CONCATENATE(",[",A4,"] [",B4,"]",D4, "  NULL")</f>
        <v>,[Provider_ID] [nvarchar](20)  NULL</v>
      </c>
      <c r="L4" s="5" t="s">
        <v>356</v>
      </c>
    </row>
    <row r="5" spans="1:12" ht="55.2" x14ac:dyDescent="0.25">
      <c r="A5" s="8" t="s">
        <v>245</v>
      </c>
      <c r="B5" s="5" t="s">
        <v>344</v>
      </c>
      <c r="C5" s="8" t="s">
        <v>75</v>
      </c>
      <c r="D5" s="22" t="s">
        <v>378</v>
      </c>
      <c r="G5" s="8" t="s">
        <v>245</v>
      </c>
      <c r="H5" s="8" t="s">
        <v>249</v>
      </c>
      <c r="J5" s="28" t="str">
        <f t="shared" si="0"/>
        <v>,[procedure_code_system] [nvarchar](20)  NULL</v>
      </c>
      <c r="L5" s="5" t="s">
        <v>365</v>
      </c>
    </row>
    <row r="6" spans="1:12" ht="69" x14ac:dyDescent="0.25">
      <c r="A6" s="8" t="s">
        <v>246</v>
      </c>
      <c r="B6" s="5" t="s">
        <v>344</v>
      </c>
      <c r="C6" s="8" t="s">
        <v>75</v>
      </c>
      <c r="D6" s="22" t="s">
        <v>375</v>
      </c>
      <c r="G6" s="8" t="s">
        <v>246</v>
      </c>
      <c r="H6" s="8" t="s">
        <v>250</v>
      </c>
      <c r="J6" s="28" t="str">
        <f t="shared" si="0"/>
        <v>,[procedure_code] [nvarchar](200)  NULL</v>
      </c>
      <c r="L6" s="5" t="s">
        <v>357</v>
      </c>
    </row>
    <row r="7" spans="1:12" ht="27.6" x14ac:dyDescent="0.25">
      <c r="A7" s="8" t="s">
        <v>247</v>
      </c>
      <c r="B7" s="5" t="s">
        <v>344</v>
      </c>
      <c r="C7" s="8" t="s">
        <v>75</v>
      </c>
      <c r="D7" s="22" t="s">
        <v>375</v>
      </c>
      <c r="G7" s="8" t="s">
        <v>247</v>
      </c>
      <c r="H7" s="8" t="s">
        <v>251</v>
      </c>
      <c r="J7" s="28" t="str">
        <f t="shared" si="0"/>
        <v>,[procedure_description] [nvarchar](200)  NULL</v>
      </c>
      <c r="L7" s="12" t="s">
        <v>358</v>
      </c>
    </row>
    <row r="8" spans="1:12" ht="69" x14ac:dyDescent="0.25">
      <c r="A8" s="8" t="s">
        <v>248</v>
      </c>
      <c r="B8" s="5" t="s">
        <v>344</v>
      </c>
      <c r="C8" s="8" t="s">
        <v>75</v>
      </c>
      <c r="D8" s="22" t="s">
        <v>378</v>
      </c>
      <c r="G8" s="8" t="s">
        <v>248</v>
      </c>
      <c r="H8" s="8" t="s">
        <v>252</v>
      </c>
      <c r="J8" s="28" t="str">
        <f t="shared" si="0"/>
        <v>,[procedure_date] [nvarchar](20)  NULL</v>
      </c>
      <c r="L8" s="29" t="s">
        <v>401</v>
      </c>
    </row>
    <row r="9" spans="1:12" x14ac:dyDescent="0.25">
      <c r="G9" s="8"/>
      <c r="L9" s="12"/>
    </row>
    <row r="10" spans="1:12" ht="27.6" x14ac:dyDescent="0.25">
      <c r="G10" s="8"/>
      <c r="J10" s="28" t="s">
        <v>348</v>
      </c>
      <c r="L10" s="5"/>
    </row>
    <row r="11" spans="1:12" x14ac:dyDescent="0.25">
      <c r="G11" s="8"/>
      <c r="L11" s="5"/>
    </row>
    <row r="12" spans="1:12" x14ac:dyDescent="0.25">
      <c r="G12" s="8"/>
      <c r="L12" s="5"/>
    </row>
    <row r="13" spans="1:12" x14ac:dyDescent="0.25">
      <c r="G13" s="8"/>
      <c r="L13" s="12"/>
    </row>
    <row r="14" spans="1:12" x14ac:dyDescent="0.25">
      <c r="G14" s="8"/>
    </row>
    <row r="15" spans="1:12" x14ac:dyDescent="0.25">
      <c r="G15" s="8"/>
    </row>
    <row r="16" spans="1:12" x14ac:dyDescent="0.25">
      <c r="G16" s="8"/>
    </row>
    <row r="17" spans="7:7" x14ac:dyDescent="0.25">
      <c r="G17" s="8"/>
    </row>
    <row r="18" spans="7:7" x14ac:dyDescent="0.25">
      <c r="G18" s="8"/>
    </row>
    <row r="19" spans="7:7" x14ac:dyDescent="0.25">
      <c r="G19" s="8"/>
    </row>
    <row r="20" spans="7:7" x14ac:dyDescent="0.25">
      <c r="G20" s="8"/>
    </row>
    <row r="21" spans="7:7" x14ac:dyDescent="0.25">
      <c r="G21" s="8"/>
    </row>
    <row r="22" spans="7:7" x14ac:dyDescent="0.25">
      <c r="G22" s="8"/>
    </row>
  </sheetData>
  <pageMargins left="0.7" right="0.7" top="0.75" bottom="0.75" header="0.3" footer="0.3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"/>
  <sheetViews>
    <sheetView rightToLeft="1" zoomScale="50" zoomScaleNormal="50" workbookViewId="0">
      <pane ySplit="1" topLeftCell="A3" activePane="bottomLeft" state="frozen"/>
      <selection pane="bottomLeft" activeCell="G5" sqref="G5"/>
    </sheetView>
  </sheetViews>
  <sheetFormatPr defaultColWidth="9" defaultRowHeight="13.8" x14ac:dyDescent="0.25"/>
  <cols>
    <col min="1" max="2" width="27.19921875" style="8" customWidth="1"/>
    <col min="3" max="3" width="20.5" style="8" customWidth="1"/>
    <col min="4" max="4" width="20.5" style="22" customWidth="1"/>
    <col min="5" max="6" width="20.5" style="8" customWidth="1"/>
    <col min="7" max="7" width="21.5" style="5" customWidth="1"/>
    <col min="8" max="8" width="62.69921875" style="8" customWidth="1"/>
    <col min="9" max="9" width="9" style="8"/>
    <col min="10" max="10" width="31" style="28" customWidth="1"/>
    <col min="11" max="11" width="9" style="8"/>
    <col min="12" max="12" width="15.19921875" style="8" customWidth="1"/>
    <col min="13" max="16384" width="9" style="8"/>
  </cols>
  <sheetData>
    <row r="1" spans="1:12" ht="178.2" customHeight="1" x14ac:dyDescent="0.25">
      <c r="A1" s="6" t="s">
        <v>0</v>
      </c>
      <c r="B1" s="7" t="s">
        <v>268</v>
      </c>
      <c r="C1" s="24" t="s">
        <v>1</v>
      </c>
      <c r="D1" s="24" t="s">
        <v>343</v>
      </c>
      <c r="E1" s="7" t="s">
        <v>342</v>
      </c>
      <c r="F1" s="26" t="s">
        <v>281</v>
      </c>
      <c r="G1" s="26" t="s">
        <v>408</v>
      </c>
      <c r="H1" s="6" t="s">
        <v>76</v>
      </c>
      <c r="J1" s="28" t="s">
        <v>387</v>
      </c>
      <c r="K1" s="5"/>
      <c r="L1" s="23" t="s">
        <v>359</v>
      </c>
    </row>
    <row r="2" spans="1:12" ht="110.4" x14ac:dyDescent="0.25">
      <c r="A2" s="8" t="s">
        <v>132</v>
      </c>
      <c r="B2" s="5" t="s">
        <v>344</v>
      </c>
      <c r="C2" s="8" t="s">
        <v>75</v>
      </c>
      <c r="D2" s="22" t="s">
        <v>345</v>
      </c>
      <c r="G2" s="8" t="s">
        <v>132</v>
      </c>
      <c r="H2" s="8" t="s">
        <v>141</v>
      </c>
      <c r="J2" s="28" t="str">
        <f>+CONCATENATE("[",A2,"] [",B2,"]",D2, "  NOT NULL")</f>
        <v>[patient_id] [nvarchar](50)  NOT NULL</v>
      </c>
      <c r="L2" s="5" t="s">
        <v>392</v>
      </c>
    </row>
    <row r="3" spans="1:12" ht="69" x14ac:dyDescent="0.25">
      <c r="A3" s="8" t="s">
        <v>133</v>
      </c>
      <c r="B3" s="5" t="s">
        <v>344</v>
      </c>
      <c r="C3" s="8" t="s">
        <v>73</v>
      </c>
      <c r="D3" s="22" t="s">
        <v>345</v>
      </c>
      <c r="G3" s="8" t="s">
        <v>133</v>
      </c>
      <c r="H3" s="8" t="s">
        <v>15</v>
      </c>
      <c r="J3" s="28" t="str">
        <f>+CONCATENATE(",[",A3,"] [",B3,"]",D3, "  NOT NULL")</f>
        <v>,[encounter_id] [nvarchar](50)  NOT NULL</v>
      </c>
      <c r="L3" s="12" t="s">
        <v>355</v>
      </c>
    </row>
    <row r="4" spans="1:12" ht="82.8" x14ac:dyDescent="0.25">
      <c r="A4" s="11" t="s">
        <v>151</v>
      </c>
      <c r="B4" s="5" t="s">
        <v>344</v>
      </c>
      <c r="C4" s="8" t="s">
        <v>75</v>
      </c>
      <c r="D4" s="22" t="s">
        <v>378</v>
      </c>
      <c r="E4" s="5" t="s">
        <v>364</v>
      </c>
      <c r="G4" s="11" t="s">
        <v>418</v>
      </c>
      <c r="H4" s="8" t="s">
        <v>142</v>
      </c>
      <c r="J4" s="28" t="str">
        <f t="shared" ref="J4:J13" si="0">+CONCATENATE(",[",A4,"] [",B4,"]",D4, "  NULL")</f>
        <v>,[Provider_ID] [nvarchar](20)  NULL</v>
      </c>
      <c r="L4" s="5" t="s">
        <v>356</v>
      </c>
    </row>
    <row r="5" spans="1:12" ht="82.8" x14ac:dyDescent="0.25">
      <c r="A5" s="8" t="s">
        <v>253</v>
      </c>
      <c r="B5" s="5" t="s">
        <v>344</v>
      </c>
      <c r="C5" s="8" t="s">
        <v>75</v>
      </c>
      <c r="D5" s="22" t="s">
        <v>378</v>
      </c>
      <c r="G5" s="8" t="s">
        <v>253</v>
      </c>
      <c r="H5" s="8" t="s">
        <v>261</v>
      </c>
      <c r="J5" s="28" t="str">
        <f t="shared" si="0"/>
        <v>,[Measure_Date] [nvarchar](20)  NULL</v>
      </c>
      <c r="L5" s="5" t="s">
        <v>365</v>
      </c>
    </row>
    <row r="6" spans="1:12" ht="69" x14ac:dyDescent="0.25">
      <c r="A6" s="8" t="s">
        <v>254</v>
      </c>
      <c r="B6" s="5" t="s">
        <v>344</v>
      </c>
      <c r="C6" s="8" t="s">
        <v>75</v>
      </c>
      <c r="D6" s="22" t="s">
        <v>378</v>
      </c>
      <c r="G6" s="8" t="s">
        <v>254</v>
      </c>
      <c r="H6" s="8" t="s">
        <v>262</v>
      </c>
      <c r="J6" s="28" t="str">
        <f t="shared" si="0"/>
        <v>,[Vital_Sign_Code_System] [nvarchar](20)  NULL</v>
      </c>
      <c r="L6" s="5" t="s">
        <v>357</v>
      </c>
    </row>
    <row r="7" spans="1:12" ht="27.6" x14ac:dyDescent="0.25">
      <c r="A7" s="8" t="s">
        <v>255</v>
      </c>
      <c r="B7" s="5" t="s">
        <v>344</v>
      </c>
      <c r="C7" s="8" t="s">
        <v>75</v>
      </c>
      <c r="D7" s="22" t="s">
        <v>378</v>
      </c>
      <c r="G7" s="8" t="s">
        <v>255</v>
      </c>
      <c r="H7" s="8" t="s">
        <v>265</v>
      </c>
      <c r="J7" s="28" t="str">
        <f t="shared" si="0"/>
        <v>,[Vital_Sign_Code] [nvarchar](20)  NULL</v>
      </c>
      <c r="L7" s="12" t="s">
        <v>358</v>
      </c>
    </row>
    <row r="8" spans="1:12" ht="82.8" x14ac:dyDescent="0.25">
      <c r="A8" s="8" t="s">
        <v>256</v>
      </c>
      <c r="B8" s="5" t="s">
        <v>344</v>
      </c>
      <c r="C8" s="8" t="s">
        <v>75</v>
      </c>
      <c r="D8" s="22" t="s">
        <v>375</v>
      </c>
      <c r="G8" s="8" t="s">
        <v>256</v>
      </c>
      <c r="H8" s="8" t="s">
        <v>264</v>
      </c>
      <c r="J8" s="28" t="str">
        <f t="shared" si="0"/>
        <v>,[Vital_Sign_Description] [nvarchar](200)  NULL</v>
      </c>
      <c r="L8" s="29" t="s">
        <v>402</v>
      </c>
    </row>
    <row r="9" spans="1:12" ht="27.6" x14ac:dyDescent="0.25">
      <c r="A9" s="8" t="s">
        <v>257</v>
      </c>
      <c r="B9" s="5" t="s">
        <v>344</v>
      </c>
      <c r="C9" s="8" t="s">
        <v>75</v>
      </c>
      <c r="D9" s="22" t="s">
        <v>376</v>
      </c>
      <c r="G9" s="8" t="s">
        <v>257</v>
      </c>
      <c r="H9" s="8" t="s">
        <v>263</v>
      </c>
      <c r="J9" s="28" t="str">
        <f t="shared" si="0"/>
        <v>,[Vital_Sign_Value] [nvarchar](100)  NULL</v>
      </c>
    </row>
    <row r="10" spans="1:12" x14ac:dyDescent="0.25">
      <c r="A10" s="8" t="s">
        <v>164</v>
      </c>
      <c r="B10" s="5" t="s">
        <v>344</v>
      </c>
      <c r="C10" s="8" t="s">
        <v>75</v>
      </c>
      <c r="D10" s="22" t="s">
        <v>403</v>
      </c>
      <c r="G10" s="8" t="s">
        <v>164</v>
      </c>
      <c r="H10" s="8" t="s">
        <v>182</v>
      </c>
      <c r="J10" s="28" t="str">
        <f t="shared" si="0"/>
        <v>,[Result_Type] [nvarchar](2)  NULL</v>
      </c>
    </row>
    <row r="11" spans="1:12" ht="27.6" x14ac:dyDescent="0.25">
      <c r="A11" s="8" t="s">
        <v>258</v>
      </c>
      <c r="B11" s="5" t="s">
        <v>344</v>
      </c>
      <c r="C11" s="8" t="s">
        <v>75</v>
      </c>
      <c r="D11" s="22" t="s">
        <v>396</v>
      </c>
      <c r="G11" s="8" t="s">
        <v>258</v>
      </c>
      <c r="H11" s="8" t="s">
        <v>183</v>
      </c>
      <c r="J11" s="28" t="str">
        <f t="shared" si="0"/>
        <v>,[Vital_Sign_Numeric_Value] [nvarchar](10)  NULL</v>
      </c>
    </row>
    <row r="12" spans="1:12" ht="27.6" x14ac:dyDescent="0.25">
      <c r="A12" s="8" t="s">
        <v>259</v>
      </c>
      <c r="B12" s="5" t="s">
        <v>344</v>
      </c>
      <c r="C12" s="8" t="s">
        <v>75</v>
      </c>
      <c r="D12" s="22" t="s">
        <v>375</v>
      </c>
      <c r="G12" s="8" t="s">
        <v>259</v>
      </c>
      <c r="H12" s="8" t="s">
        <v>184</v>
      </c>
      <c r="J12" s="28" t="str">
        <f t="shared" si="0"/>
        <v>,[Vital_Sign_Text_Value] [nvarchar](200)  NULL</v>
      </c>
    </row>
    <row r="13" spans="1:12" ht="27.6" x14ac:dyDescent="0.25">
      <c r="A13" s="8" t="s">
        <v>260</v>
      </c>
      <c r="B13" s="5" t="s">
        <v>344</v>
      </c>
      <c r="C13" s="8" t="s">
        <v>75</v>
      </c>
      <c r="D13" s="22" t="s">
        <v>396</v>
      </c>
      <c r="G13" s="8" t="s">
        <v>260</v>
      </c>
      <c r="H13" s="8" t="s">
        <v>266</v>
      </c>
      <c r="J13" s="28" t="str">
        <f t="shared" si="0"/>
        <v>,[units_of_measure] [nvarchar](10)  NULL</v>
      </c>
    </row>
    <row r="14" spans="1:12" x14ac:dyDescent="0.25">
      <c r="G14" s="8"/>
    </row>
    <row r="15" spans="1:12" ht="27.6" x14ac:dyDescent="0.25">
      <c r="G15" s="8"/>
      <c r="J15" s="28" t="s">
        <v>348</v>
      </c>
    </row>
    <row r="16" spans="1:12" x14ac:dyDescent="0.25">
      <c r="G16" s="8"/>
    </row>
    <row r="17" spans="7:7" x14ac:dyDescent="0.25">
      <c r="G17" s="8"/>
    </row>
    <row r="18" spans="7:7" x14ac:dyDescent="0.25">
      <c r="G18" s="8"/>
    </row>
    <row r="19" spans="7:7" x14ac:dyDescent="0.25">
      <c r="G19" s="8"/>
    </row>
    <row r="20" spans="7:7" x14ac:dyDescent="0.25">
      <c r="G20" s="8"/>
    </row>
    <row r="21" spans="7:7" x14ac:dyDescent="0.25">
      <c r="G21" s="8"/>
    </row>
    <row r="22" spans="7:7" x14ac:dyDescent="0.25">
      <c r="G22" s="8"/>
    </row>
  </sheetData>
  <pageMargins left="0.7" right="0.7" top="0.75" bottom="0.75" header="0.3" footer="0.3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hadasa_bedsore</vt:lpstr>
      <vt:lpstr>hadasa_bedsore_diagnosis</vt:lpstr>
      <vt:lpstr>hadasa_bedsore_lab_results_data</vt:lpstr>
      <vt:lpstr>hadasa_bedsore_medication_data</vt:lpstr>
      <vt:lpstr>hadasa_bedsore_oncology_data</vt:lpstr>
      <vt:lpstr>hadasa_bedsore_procedure_data</vt:lpstr>
      <vt:lpstr>hadasa_bedsore_vital_signs_data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נוימן אריק - NOYMAN ARIK</dc:creator>
  <cp:keywords/>
  <dc:description/>
  <cp:lastModifiedBy>אמיר שקד</cp:lastModifiedBy>
  <dcterms:created xsi:type="dcterms:W3CDTF">2018-11-28T14:45:14Z</dcterms:created>
  <dcterms:modified xsi:type="dcterms:W3CDTF">2018-12-20T14:31:58Z</dcterms:modified>
  <cp:category/>
  <cp:contentStatus/>
</cp:coreProperties>
</file>